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ado Summary" sheetId="1" r:id="rId4"/>
    <sheet state="visible" name="2015 individual org worksheet" sheetId="2" r:id="rId5"/>
    <sheet state="visible" name="All Cats" sheetId="3" r:id="rId6"/>
    <sheet state="visible" name="All Dogs" sheetId="4" r:id="rId7"/>
    <sheet state="visible" name="In-State Transfers" sheetId="5" r:id="rId8"/>
  </sheets>
  <definedNames>
    <definedName hidden="1" localSheetId="1" name="_xlnm._FilterDatabase">'2015 individual org worksheet'!$A$1:$GA$1</definedName>
  </definedNames>
  <calcPr/>
</workbook>
</file>

<file path=xl/sharedStrings.xml><?xml version="1.0" encoding="utf-8"?>
<sst xmlns="http://schemas.openxmlformats.org/spreadsheetml/2006/main" count="2895" uniqueCount="1066">
  <si>
    <r>
      <rPr>
        <rFont val="Arial"/>
        <b/>
        <color theme="1"/>
        <sz val="9.0"/>
      </rPr>
      <t>Colorado Department of Agriculture – Pet Animal Care Facilities Act (PACFA)</t>
    </r>
  </si>
  <si>
    <r>
      <rPr>
        <rFont val="Arial"/>
        <b/>
        <color theme="1"/>
        <sz val="9.0"/>
      </rPr>
      <t>Animal Shelter and Rescue 2015 Report - As of July 1, 2016</t>
    </r>
  </si>
  <si>
    <r>
      <rPr>
        <rFont val="Arial"/>
        <color theme="1"/>
        <sz val="7.0"/>
      </rPr>
      <t>Total amount of deposits collected: $</t>
    </r>
  </si>
  <si>
    <r>
      <rPr>
        <rFont val="Arial"/>
        <color theme="1"/>
        <sz val="7.0"/>
      </rPr>
      <t>Total amount retained by shelter at end of year: $</t>
    </r>
  </si>
  <si>
    <r>
      <rPr>
        <rFont val="Arial"/>
        <b/>
        <color theme="1"/>
        <sz val="6.0"/>
      </rPr>
      <t>Dogs</t>
    </r>
  </si>
  <si>
    <r>
      <rPr>
        <rFont val="Arial"/>
        <b/>
        <color theme="1"/>
        <sz val="6.0"/>
      </rPr>
      <t>Cats</t>
    </r>
  </si>
  <si>
    <r>
      <rPr>
        <rFont val="Arial"/>
        <b/>
        <color theme="1"/>
        <sz val="6.0"/>
      </rPr>
      <t>Birds</t>
    </r>
  </si>
  <si>
    <r>
      <rPr>
        <rFont val="Arial"/>
        <b/>
        <color theme="1"/>
        <sz val="6.0"/>
      </rPr>
      <t>Small Mammals (excluding Rabbits)</t>
    </r>
  </si>
  <si>
    <r>
      <rPr>
        <rFont val="Arial"/>
        <b/>
        <color theme="1"/>
        <sz val="6.0"/>
      </rPr>
      <t>Reptiles</t>
    </r>
  </si>
  <si>
    <r>
      <rPr>
        <rFont val="Arial"/>
        <b/>
        <color theme="1"/>
        <sz val="6.0"/>
      </rPr>
      <t>Rabbits</t>
    </r>
  </si>
  <si>
    <r>
      <rPr>
        <rFont val="Arial"/>
        <b/>
        <color theme="1"/>
        <sz val="6.0"/>
      </rPr>
      <t>Other: Fish, Livestock, Etc</t>
    </r>
  </si>
  <si>
    <r>
      <rPr>
        <rFont val="Arial"/>
        <b/>
        <color theme="1"/>
        <sz val="6.0"/>
      </rPr>
      <t>Total</t>
    </r>
  </si>
  <si>
    <r>
      <rPr>
        <rFont val="Arial"/>
        <i/>
        <color theme="1"/>
        <sz val="6.0"/>
      </rPr>
      <t>Adults</t>
    </r>
  </si>
  <si>
    <r>
      <rPr>
        <rFont val="Arial"/>
        <i/>
        <color theme="1"/>
        <sz val="6.0"/>
      </rPr>
      <t>Juvenile &lt;=120 days</t>
    </r>
  </si>
  <si>
    <r>
      <rPr>
        <rFont val="Arial"/>
        <i/>
        <color theme="1"/>
        <sz val="6.0"/>
      </rPr>
      <t>Adults</t>
    </r>
  </si>
  <si>
    <r>
      <rPr>
        <rFont val="Arial"/>
        <i/>
        <color theme="1"/>
        <sz val="6.0"/>
      </rPr>
      <t>Juvenile &lt;=120 days</t>
    </r>
  </si>
  <si>
    <r>
      <rPr>
        <rFont val="Arial"/>
        <color theme="1"/>
        <sz val="6.0"/>
      </rPr>
      <t>Beginning Count 1/1/2015</t>
    </r>
  </si>
  <si>
    <r>
      <rPr>
        <rFont val="Arial"/>
        <color theme="1"/>
        <sz val="6.0"/>
      </rPr>
      <t>Beginning Foster Count 1/1/2015</t>
    </r>
  </si>
  <si>
    <r>
      <rPr>
        <rFont val="Arial"/>
        <color theme="1"/>
        <sz val="6.0"/>
      </rPr>
      <t>Stray</t>
    </r>
  </si>
  <si>
    <r>
      <rPr>
        <rFont val="Arial"/>
        <color theme="1"/>
        <sz val="6.0"/>
      </rPr>
      <t>Owner Relinquished</t>
    </r>
  </si>
  <si>
    <r>
      <rPr>
        <rFont val="Arial"/>
        <color theme="1"/>
        <sz val="6.0"/>
      </rPr>
      <t>Owner Requested Euthanasia upon intake</t>
    </r>
  </si>
  <si>
    <r>
      <rPr>
        <rFont val="Arial"/>
        <color theme="1"/>
        <sz val="6.0"/>
      </rPr>
      <t>Transfer in from another Colorado organization</t>
    </r>
  </si>
  <si>
    <r>
      <rPr>
        <rFont val="Arial"/>
        <color theme="1"/>
        <sz val="6.0"/>
      </rPr>
      <t>Transfer in from Out of State organization</t>
    </r>
  </si>
  <si>
    <r>
      <rPr>
        <rFont val="Arial"/>
        <color theme="1"/>
        <sz val="6.0"/>
      </rPr>
      <t xml:space="preserve">Other: TNR / Protective Custody
</t>
    </r>
    <r>
      <rPr>
        <rFont val="Arial"/>
        <color theme="1"/>
        <sz val="6.0"/>
      </rPr>
      <t>/ Returns / Disaster relief</t>
    </r>
  </si>
  <si>
    <r>
      <rPr>
        <rFont val="Arial"/>
        <b/>
        <color theme="1"/>
        <sz val="6.0"/>
      </rPr>
      <t>Total Live Intake</t>
    </r>
  </si>
  <si>
    <r>
      <rPr>
        <rFont val="Arial"/>
        <color theme="1"/>
        <sz val="6.0"/>
      </rPr>
      <t>Adoption</t>
    </r>
  </si>
  <si>
    <r>
      <rPr>
        <rFont val="Arial"/>
        <color theme="1"/>
        <sz val="6.0"/>
      </rPr>
      <t>Returned To Owner (RTO)</t>
    </r>
  </si>
  <si>
    <r>
      <rPr>
        <rFont val="Arial"/>
        <color theme="1"/>
        <sz val="6.0"/>
      </rPr>
      <t>Transfer or Rescue out to another Colorado organization</t>
    </r>
  </si>
  <si>
    <r>
      <rPr>
        <rFont val="Arial"/>
        <color theme="1"/>
        <sz val="6.0"/>
      </rPr>
      <t>Transfer or Rescue out to an Out of State organization</t>
    </r>
  </si>
  <si>
    <r>
      <rPr>
        <rFont val="Arial"/>
        <color theme="1"/>
        <sz val="6.0"/>
      </rPr>
      <t>Other Live Outcomes (ie: tnr / snr)</t>
    </r>
  </si>
  <si>
    <r>
      <rPr>
        <rFont val="Arial"/>
        <b/>
        <color theme="1"/>
        <sz val="6.0"/>
      </rPr>
      <t>Subtotal: Live Outcomes</t>
    </r>
  </si>
  <si>
    <r>
      <rPr>
        <rFont val="Arial"/>
        <color theme="1"/>
        <sz val="6.0"/>
      </rPr>
      <t>Died</t>
    </r>
  </si>
  <si>
    <r>
      <rPr>
        <rFont val="Arial"/>
        <color theme="1"/>
        <sz val="6.0"/>
      </rPr>
      <t>Missing / Stolen</t>
    </r>
  </si>
  <si>
    <r>
      <rPr>
        <rFont val="Arial"/>
        <color theme="1"/>
        <sz val="6.0"/>
      </rPr>
      <t>Shelter Euthanasia</t>
    </r>
  </si>
  <si>
    <r>
      <rPr>
        <rFont val="Arial"/>
        <color theme="1"/>
        <sz val="6.0"/>
      </rPr>
      <t>Owner Requested Euthanasia</t>
    </r>
  </si>
  <si>
    <r>
      <rPr>
        <rFont val="Arial"/>
        <b/>
        <color theme="1"/>
        <sz val="6.0"/>
      </rPr>
      <t>Subtotal: Other Outcomes</t>
    </r>
  </si>
  <si>
    <r>
      <rPr>
        <rFont val="Arial"/>
        <b/>
        <color theme="1"/>
        <sz val="6.0"/>
      </rPr>
      <t>Total Outcomes</t>
    </r>
  </si>
  <si>
    <r>
      <rPr>
        <rFont val="Arial"/>
        <color theme="1"/>
        <sz val="6.0"/>
      </rPr>
      <t>Ending Count 12/31/2015</t>
    </r>
  </si>
  <si>
    <r>
      <rPr>
        <rFont val="Arial"/>
        <color theme="1"/>
        <sz val="6.0"/>
      </rPr>
      <t>Foster Count 12/31/2015</t>
    </r>
  </si>
  <si>
    <r>
      <rPr>
        <rFont val="Arial"/>
        <color theme="1"/>
        <sz val="6.0"/>
      </rPr>
      <t>AVG  LOS *</t>
    </r>
  </si>
  <si>
    <r>
      <rPr>
        <rFont val="Arial"/>
        <color theme="1"/>
        <sz val="6.0"/>
      </rPr>
      <t>Adult Dogs</t>
    </r>
  </si>
  <si>
    <r>
      <rPr>
        <rFont val="Arial"/>
        <color theme="1"/>
        <sz val="6.0"/>
      </rPr>
      <t>Juv. Dogs</t>
    </r>
  </si>
  <si>
    <r>
      <rPr>
        <rFont val="Arial"/>
        <color theme="1"/>
        <sz val="6.0"/>
      </rPr>
      <t>Adult Cats</t>
    </r>
  </si>
  <si>
    <r>
      <rPr>
        <rFont val="Arial"/>
        <color theme="1"/>
        <sz val="6.0"/>
      </rPr>
      <t>Juv. Cats</t>
    </r>
  </si>
  <si>
    <r>
      <rPr>
        <rFont val="Arial"/>
        <color theme="1"/>
        <sz val="6.0"/>
      </rPr>
      <t>Bird</t>
    </r>
  </si>
  <si>
    <r>
      <rPr>
        <rFont val="Arial"/>
        <color theme="1"/>
        <sz val="6.0"/>
      </rPr>
      <t>Mammals</t>
    </r>
  </si>
  <si>
    <r>
      <rPr>
        <rFont val="Arial"/>
        <color theme="1"/>
        <sz val="6.0"/>
      </rPr>
      <t>Reptile</t>
    </r>
  </si>
  <si>
    <r>
      <rPr>
        <rFont val="Arial"/>
        <color theme="1"/>
        <sz val="6.0"/>
      </rPr>
      <t>Rabbits</t>
    </r>
  </si>
  <si>
    <r>
      <rPr>
        <rFont val="Arial"/>
        <color theme="1"/>
        <sz val="6.0"/>
      </rPr>
      <t>Other</t>
    </r>
  </si>
  <si>
    <t>PACFA License Number:</t>
  </si>
  <si>
    <t>Facility Name:</t>
  </si>
  <si>
    <t>Facility Physical Street Address</t>
  </si>
  <si>
    <t>Zip Code</t>
  </si>
  <si>
    <t>County</t>
  </si>
  <si>
    <t>Adult Dogs: Beginning Count</t>
  </si>
  <si>
    <t>Adult Dogs: Beginning Foster Count</t>
  </si>
  <si>
    <t>Adult Dogs: Stray</t>
  </si>
  <si>
    <t>Adult Dogs: Owner Relinquished</t>
  </si>
  <si>
    <t>Adult Dogs: Owner Requested Euthanasia upon intake</t>
  </si>
  <si>
    <t>Adult Dogs: Transfer in from another Colorado organization</t>
  </si>
  <si>
    <t>Adult Dogs: Transfer in from Out of State organization</t>
  </si>
  <si>
    <t>Adult Dogs: Other: TNR / Protective Custody / Returns / Disaster Relief</t>
  </si>
  <si>
    <t>Adult Dogs: Adoption</t>
  </si>
  <si>
    <t>Adult Dogs: Returned To Owner (RTO)</t>
  </si>
  <si>
    <t>Adult Dogs: Transfer or Rescue out to another Colorado organization</t>
  </si>
  <si>
    <t>Adult Dogs: Transfer or Rescue out to an Out of State organization</t>
  </si>
  <si>
    <t>Adult Dogs: Other live outcomes (ie: tnr/snr)</t>
  </si>
  <si>
    <t>Adult Dogs: Died</t>
  </si>
  <si>
    <t>Adult Dogs: Missing / Stolen</t>
  </si>
  <si>
    <t>Adult Dogs: Shelter Euthanasia</t>
  </si>
  <si>
    <t>Adult Dogs: Owner Requested Euthanasia</t>
  </si>
  <si>
    <t>Adult Dogs: Ending Count</t>
  </si>
  <si>
    <t>Adult Dogs: Foster Count</t>
  </si>
  <si>
    <t>Juvenile Dogs: Beginning Count</t>
  </si>
  <si>
    <t>Juvenile Dogs: Beginning Foster Count</t>
  </si>
  <si>
    <t>Juvenile Dogs: Stray</t>
  </si>
  <si>
    <t>Juvenile Dogs: Owner Relinquished</t>
  </si>
  <si>
    <t>Juvenile Dogs: Owner Requested Euthanasia upon intake</t>
  </si>
  <si>
    <t>Juvenile Dogs: Transfer in from another Colorado organization</t>
  </si>
  <si>
    <t>Juvenile Dogs: Transfer in from Out of State organization</t>
  </si>
  <si>
    <t>Juvenile Dogs: Other: TNR / Protective Custody / Returns / Disaster relief</t>
  </si>
  <si>
    <t>Juvenile Dogs: Adoption</t>
  </si>
  <si>
    <t>Juvenile Dogs: Returned To Owner (RTO)</t>
  </si>
  <si>
    <t>Juvenile Dogs: Transfer or Rescue out to another Colorado organization</t>
  </si>
  <si>
    <t>Juvenile Dogs: Transfer or Rescue out to an Out of State organization</t>
  </si>
  <si>
    <t>Juvenile Dogs: Other live outcomes (ie tnr / snr)</t>
  </si>
  <si>
    <t>Juvenile Dogs: Died</t>
  </si>
  <si>
    <t>Juvenile Dogs: Missing / Stolen</t>
  </si>
  <si>
    <t>Juvenile Dogs: Shelter Euthanasia</t>
  </si>
  <si>
    <t>Juvenile Dogs: Owner Requested Euthanasia</t>
  </si>
  <si>
    <t>Juvenile Dogs: Ending Count</t>
  </si>
  <si>
    <t>Juvenile Dogs: Foster Count</t>
  </si>
  <si>
    <t>Adult Cats: Beginning Count</t>
  </si>
  <si>
    <t>Adult Cats: Beginning Foster Count</t>
  </si>
  <si>
    <t>Adult Cats: Stray</t>
  </si>
  <si>
    <t>Adult Cats: Owner Relinquished</t>
  </si>
  <si>
    <t>Adult Cats: Owner Requested Euthanasia upon intake</t>
  </si>
  <si>
    <t>Adult Cats: Transfer in from another Colorado organization</t>
  </si>
  <si>
    <t>Adult Cats: Transfer in from Out of State organization</t>
  </si>
  <si>
    <t>Adult Cats: Other: TNR / Protective Custody / Returns / Disaster Relief</t>
  </si>
  <si>
    <t>Adult Cats: Adoption</t>
  </si>
  <si>
    <t>Adult Cats: Returned To Owner (RTO)</t>
  </si>
  <si>
    <t>Adult Cats: Transfer or Rescue out to another Colorado organization</t>
  </si>
  <si>
    <t>Adult Cats: Transfer or Rescue out to an Out of State organization</t>
  </si>
  <si>
    <t>Adult Cats: Other Live Outcomes (ie: tnr / snr)</t>
  </si>
  <si>
    <t>Adult Cats: Died</t>
  </si>
  <si>
    <t>Adult Cats: Missing / Stolen</t>
  </si>
  <si>
    <t>Adult Cats: Shelter Euthanasia</t>
  </si>
  <si>
    <t>Adult Cats: Owner Requested Euthanasia</t>
  </si>
  <si>
    <t>Adult Cats: Ending Count</t>
  </si>
  <si>
    <t>Adult Cats: Foster Count</t>
  </si>
  <si>
    <t>Adult Cats: AVG LOS</t>
  </si>
  <si>
    <t>Juvenile Cats: Beginning Count</t>
  </si>
  <si>
    <t>Juvenile Cats: Beginning Foster Count</t>
  </si>
  <si>
    <t>Juvenile Cats: Stray</t>
  </si>
  <si>
    <t>Juvenile Cats: Owner Relinquished</t>
  </si>
  <si>
    <t>Juvenile Cats: Owner Requested Euthanasia upon intake</t>
  </si>
  <si>
    <t>Juvenile Cats: Transfer in from another Colorado organization</t>
  </si>
  <si>
    <t>Juvenile Cats: Transfer in from Out of State organization</t>
  </si>
  <si>
    <t>Juvenile Cats: Other: TNR / Protective Custody / Returns / Disaster Relief</t>
  </si>
  <si>
    <t>Juvenile Cats: Adoption</t>
  </si>
  <si>
    <t>Juvenile Cats: Returned To Owner (RTO)</t>
  </si>
  <si>
    <t>Juvenile Cats: Transfer or Rescue out to another Colorado organization</t>
  </si>
  <si>
    <t>Juvenile Cats: Transfer or Rescue out to an Out of State organization</t>
  </si>
  <si>
    <t>Juvenile Cats: Other Live Outcomes (ie:tnr / snr)</t>
  </si>
  <si>
    <t>Juvenile Cats: Died</t>
  </si>
  <si>
    <t>Juvenile Cats: Missing / Stolen</t>
  </si>
  <si>
    <t>Juvenile Cats: Shelter Euthanasia</t>
  </si>
  <si>
    <t>Juvenile Cats: Owner Requested Euthanasia</t>
  </si>
  <si>
    <t>Juvenile Cats: Ending Count</t>
  </si>
  <si>
    <t>Juvenile Cats: Foster Count</t>
  </si>
  <si>
    <t>Birds: Beginning Count</t>
  </si>
  <si>
    <t>Birds: Beginning Foster Count</t>
  </si>
  <si>
    <t>Birds: Stray</t>
  </si>
  <si>
    <t>Birds: Owner Relinquished</t>
  </si>
  <si>
    <t>Birds: Owner Requested Euthanasia upon intake</t>
  </si>
  <si>
    <t>Birds: Transfer in from another Colorado organization</t>
  </si>
  <si>
    <t>Birds: Transfer in from Out of State organization</t>
  </si>
  <si>
    <t>Birds: Other: TNR / Protective Custody / Returns / Disaster Relief</t>
  </si>
  <si>
    <t>Birds: Adoption</t>
  </si>
  <si>
    <t>Birds: Returned To Owner (RTO)</t>
  </si>
  <si>
    <t>Birds: Transfer or Rescue out to another Colorado organization</t>
  </si>
  <si>
    <t>Birds: Transfer or Rescue out to an Out of State organization</t>
  </si>
  <si>
    <t>Birds: Other Live Outcomes(ie: tnr / snr)</t>
  </si>
  <si>
    <t>Birds: Died</t>
  </si>
  <si>
    <t>Birds: Missing / Stolen</t>
  </si>
  <si>
    <t>Birds: Shelter Euthanasia</t>
  </si>
  <si>
    <t>Birds: Owner Requested Euthanasia</t>
  </si>
  <si>
    <t>Birds: Ending Count</t>
  </si>
  <si>
    <t>Birds: Foster Count</t>
  </si>
  <si>
    <t>Birds: AVG LOS</t>
  </si>
  <si>
    <t>Small Mammal: Beginning Count</t>
  </si>
  <si>
    <t>Small Mammal: Beginning Foster Count</t>
  </si>
  <si>
    <t>Sm Mammal: Stray</t>
  </si>
  <si>
    <t>Sm Mammal: Owner Relinquished</t>
  </si>
  <si>
    <t>Sm Mammal: Owner Requested Euthanasia upon intake</t>
  </si>
  <si>
    <t>Sm Mammal: Transfer in from another Colorado organization</t>
  </si>
  <si>
    <t>Sm Mammal: Transfer in from Out of State organization</t>
  </si>
  <si>
    <t>Sm Mammal: Other: TNR / Protective Custody / Returns / Disaster Relief</t>
  </si>
  <si>
    <t>Sm Mammal: Adoption</t>
  </si>
  <si>
    <t>Sm Mammal: Returned To Owner (RTO)</t>
  </si>
  <si>
    <t>Sm Mammal: Transfer or Rescue out to another Colorado organization</t>
  </si>
  <si>
    <t>Sm Mammal: Transfer or Rescue out to an Out of State organization</t>
  </si>
  <si>
    <t>Sm Mammal: Other Live Outcomes (ie: tnr / snr)</t>
  </si>
  <si>
    <t>Sm Mammal: Died</t>
  </si>
  <si>
    <t>Sm Mammal: Missing / Stolen</t>
  </si>
  <si>
    <t>Sm Mammal: Shelter Euthanasia</t>
  </si>
  <si>
    <t>Sm Mammal: Owner Requested Euthanasia</t>
  </si>
  <si>
    <t>Sm Mammal: Ending Count</t>
  </si>
  <si>
    <t>Sm Mammal: Foster Count</t>
  </si>
  <si>
    <t>Sm Mammal: AVG LOS</t>
  </si>
  <si>
    <t>Reptiles: Beginning Count</t>
  </si>
  <si>
    <t>Reptiles: Beginning Foster Count</t>
  </si>
  <si>
    <t>Reptiles: Stray</t>
  </si>
  <si>
    <t>Reptiles: Owner Relinquished</t>
  </si>
  <si>
    <t>Reptiles: Owner Requested Euthanasia upon intake</t>
  </si>
  <si>
    <t>Reptiles: Transfer in from another Colorado organization</t>
  </si>
  <si>
    <t>Reptiles: Transfer in from Out of State organization</t>
  </si>
  <si>
    <t>Reptiles: Other: TNR / Protective Custody / Returns / Disaster Relief</t>
  </si>
  <si>
    <t>Reptiles: Adoption</t>
  </si>
  <si>
    <t>Reptiles: Returned To Owner (RTO)</t>
  </si>
  <si>
    <t>Reptiles: Transfer or Rescue out to another Colorado organization</t>
  </si>
  <si>
    <t>Reptiles: Transfer or Rescue out to an Out of State organization</t>
  </si>
  <si>
    <t>Reptiles: Other Live Outcomes (ie: tnr / snr)</t>
  </si>
  <si>
    <t>Reptiles: Died</t>
  </si>
  <si>
    <t>Reptiles: Missing / Stolen</t>
  </si>
  <si>
    <t>Reptiles: Shelter Euthanasia</t>
  </si>
  <si>
    <t>Reptiles: Owner Requested Euthanasia</t>
  </si>
  <si>
    <t>Reptiles: Ending Count</t>
  </si>
  <si>
    <t>Reptiles: Foster Count</t>
  </si>
  <si>
    <t>Reptiles: AVG LOS</t>
  </si>
  <si>
    <t>Rabbits: Beginning Count</t>
  </si>
  <si>
    <t>Rabbits: Beginning Foster Count</t>
  </si>
  <si>
    <t>Rabbits: Stray</t>
  </si>
  <si>
    <t>Rabbits: Owner Relinquished</t>
  </si>
  <si>
    <t>Rabbits: Owner Requested Euthanasia upon intake</t>
  </si>
  <si>
    <t>Rabbits: Transfer in from another Colorado organization</t>
  </si>
  <si>
    <t>Rabbits: Transfer in from Out of State organization</t>
  </si>
  <si>
    <t>Rabbits: Other: TNR / Protective Custody / Returns / Disaster Relief</t>
  </si>
  <si>
    <t>Rabbits: Adoption</t>
  </si>
  <si>
    <t>Rabbits: Returned To Owner (RTO)</t>
  </si>
  <si>
    <t>Rabbits: Transfer or Rescue out to another Colorado organization</t>
  </si>
  <si>
    <t>Rabbits: Transfer or Rescue out to an Out of State organization</t>
  </si>
  <si>
    <t>Rabbits: Other Live Outcomes ( ie: tnr / snr)</t>
  </si>
  <si>
    <t>Rabbits: Died</t>
  </si>
  <si>
    <t>Rabbits: Missing / Stolen</t>
  </si>
  <si>
    <t>Rabbits: Shelter Euthanasia</t>
  </si>
  <si>
    <t>Rabbits: Owner Requested Euthanasia</t>
  </si>
  <si>
    <t>Rabbits: Ending Count</t>
  </si>
  <si>
    <t>Rabbits: Foster Count</t>
  </si>
  <si>
    <t>Rabbits: AVG LOS</t>
  </si>
  <si>
    <t>Other: Beginning Count</t>
  </si>
  <si>
    <t>Other: Beginning Foster Count</t>
  </si>
  <si>
    <t>Other: What animals are you reporting for?</t>
  </si>
  <si>
    <t>Other: Stray</t>
  </si>
  <si>
    <t>Other: Owner Relinquished</t>
  </si>
  <si>
    <t>Other: Owner Requested Euthanasia upon intake</t>
  </si>
  <si>
    <t>Other: Transfer in from another Colorado organization</t>
  </si>
  <si>
    <t>Other: Transfer in from Out of State organization</t>
  </si>
  <si>
    <t>Other: TNR / Protective Custody / Returns / Disaster Relief</t>
  </si>
  <si>
    <t>Other: Adoption</t>
  </si>
  <si>
    <t>Other: Returned To Owner (RTO)</t>
  </si>
  <si>
    <t>Other: Transfer or Rescue out to another Colorado organization</t>
  </si>
  <si>
    <t>Other: Transfer or Rescue out to an Out of State organization</t>
  </si>
  <si>
    <t>Other: Other Live Outcomes (ie: tnr / snr)</t>
  </si>
  <si>
    <t>Other: Died</t>
  </si>
  <si>
    <t>Other: Missing / Stolen</t>
  </si>
  <si>
    <t>Other: Shelter Euthanasia</t>
  </si>
  <si>
    <t>Other: Owner Requested Euthanasia</t>
  </si>
  <si>
    <t>Other: Ending Count</t>
  </si>
  <si>
    <t>Other: Foster Count</t>
  </si>
  <si>
    <t>Other: AVG LOS</t>
  </si>
  <si>
    <t>PL002BA1</t>
  </si>
  <si>
    <t>2 Blondes All Breed Rescue</t>
  </si>
  <si>
    <t>7695 Louviers Blvd</t>
  </si>
  <si>
    <t>Douglas County</t>
  </si>
  <si>
    <t>PL002GUD</t>
  </si>
  <si>
    <t>4 Paws 4 Life Rescue</t>
  </si>
  <si>
    <t>8290 W. Coal Mine Avenue</t>
  </si>
  <si>
    <t>Jefferson County</t>
  </si>
  <si>
    <t>PL000LMT</t>
  </si>
  <si>
    <t>4 Paws Rescue</t>
  </si>
  <si>
    <t>8677 Saddleman Road</t>
  </si>
  <si>
    <t>El Paso County</t>
  </si>
  <si>
    <t>PL0009H9</t>
  </si>
  <si>
    <t>9 Lives Rescue</t>
  </si>
  <si>
    <t>2965 New Center Point</t>
  </si>
  <si>
    <t>PL001LW1</t>
  </si>
  <si>
    <t>Adams County Animal Shelter/ Adoption Center</t>
  </si>
  <si>
    <t>10705 Fulton St</t>
  </si>
  <si>
    <t>Adams County</t>
  </si>
  <si>
    <t>PL0021A6</t>
  </si>
  <si>
    <t>Adoptable Animal Rescue Force</t>
  </si>
  <si>
    <t>208 US Highway 24</t>
  </si>
  <si>
    <t>Teller County</t>
  </si>
  <si>
    <t>PL001R08</t>
  </si>
  <si>
    <t>All Aboard Animal Rescue &amp; Shelter</t>
  </si>
  <si>
    <t>1721 West Harmony Road Unit #104</t>
  </si>
  <si>
    <t>Weld County</t>
  </si>
  <si>
    <t>PL001F8Y</t>
  </si>
  <si>
    <t>All Ears Basset Sanctuary</t>
  </si>
  <si>
    <t>3121 Redhaven Way</t>
  </si>
  <si>
    <t>PL001ECU</t>
  </si>
  <si>
    <t>Almost Home Adoptions for rescued cats</t>
  </si>
  <si>
    <t>6010 W. 88th Ave</t>
  </si>
  <si>
    <t>PL000KVF</t>
  </si>
  <si>
    <t>Angels With Paws</t>
  </si>
  <si>
    <t>2540 Youngfield St</t>
  </si>
  <si>
    <t>PL0004C6</t>
  </si>
  <si>
    <t>Animal Clinic of Julesburg</t>
  </si>
  <si>
    <t>809 West 3rd Street</t>
  </si>
  <si>
    <t>Sedgwick County</t>
  </si>
  <si>
    <t>PL000V1V</t>
  </si>
  <si>
    <t>Animal House Rescue</t>
  </si>
  <si>
    <t>1104 West Vine Drive</t>
  </si>
  <si>
    <t>Larimer County</t>
  </si>
  <si>
    <t>PL000Z39</t>
  </si>
  <si>
    <t>Animal Rescue Connection, Inc.</t>
  </si>
  <si>
    <t>2645 9th Ave</t>
  </si>
  <si>
    <t>Boulder County</t>
  </si>
  <si>
    <t>PL000VQJ</t>
  </si>
  <si>
    <t>Animal Rescue of the Rockies</t>
  </si>
  <si>
    <t>0557 Broken Lance Drive</t>
  </si>
  <si>
    <t>Summit County</t>
  </si>
  <si>
    <t>PL000G65</t>
  </si>
  <si>
    <t>Annie's Orphans</t>
  </si>
  <si>
    <t>1630 CR 214</t>
  </si>
  <si>
    <t>La Plata County</t>
  </si>
  <si>
    <t>PL001AC9</t>
  </si>
  <si>
    <t>Ark Valley Humane Society The Sunshine Shelter</t>
  </si>
  <si>
    <t>10128 US Highway 50</t>
  </si>
  <si>
    <t>Chaffee County</t>
  </si>
  <si>
    <t>PL0006A2</t>
  </si>
  <si>
    <t>Ark Valley Humane Society, Inc</t>
  </si>
  <si>
    <t>701 Gregg Dr</t>
  </si>
  <si>
    <t>PL000U04</t>
  </si>
  <si>
    <t>Arrowhead Correctional Center</t>
  </si>
  <si>
    <t>57500 US Highway 50, East Canon Correctional Complex</t>
  </si>
  <si>
    <t>Fremont County</t>
  </si>
  <si>
    <t>PL000SL5</t>
  </si>
  <si>
    <t>Aspen Boarding Kennel &amp; Animal Shelter</t>
  </si>
  <si>
    <t>101 Animal Shelter Road Unit 1</t>
  </si>
  <si>
    <t>Pitkin County</t>
  </si>
  <si>
    <t>PL0005YW</t>
  </si>
  <si>
    <t>Bear Creek Animal Hospital</t>
  </si>
  <si>
    <t>2430 East Victory Way</t>
  </si>
  <si>
    <t>Moffat County</t>
  </si>
  <si>
    <t>PL0011Y3</t>
  </si>
  <si>
    <t>Best Friends Forever</t>
  </si>
  <si>
    <t>6350 Oak St. #206</t>
  </si>
  <si>
    <t>PL000BZ4</t>
  </si>
  <si>
    <t>Bichon Frise Rescue Ranch</t>
  </si>
  <si>
    <t>1979 Carlson Rd.</t>
  </si>
  <si>
    <t>Elbert County</t>
  </si>
  <si>
    <t>PL000PCZ</t>
  </si>
  <si>
    <t>Big Bones Canine Rescue Service, Inc.</t>
  </si>
  <si>
    <t>32614 County Road 23</t>
  </si>
  <si>
    <t>PL0010NT</t>
  </si>
  <si>
    <t>Big Dogs Huge Paws, Inc</t>
  </si>
  <si>
    <t>1917 Perry Park Ave</t>
  </si>
  <si>
    <t>PL001566</t>
  </si>
  <si>
    <t>Black Canyon Animal Sanctuary</t>
  </si>
  <si>
    <t>42528 Needle Rock Rd</t>
  </si>
  <si>
    <t>Delta County</t>
  </si>
  <si>
    <t>PL000GEQ</t>
  </si>
  <si>
    <t>Blue Lion Rescue</t>
  </si>
  <si>
    <t>33955 Torrence Rd.</t>
  </si>
  <si>
    <t>PL002GE8</t>
  </si>
  <si>
    <t>Bounce Rescue</t>
  </si>
  <si>
    <t>18490 CR 1</t>
  </si>
  <si>
    <t>PL001558</t>
  </si>
  <si>
    <t>Breeder Release Adoption Service</t>
  </si>
  <si>
    <t>18500 CR 47.7</t>
  </si>
  <si>
    <t>Las Animas County</t>
  </si>
  <si>
    <t>PL001BMN</t>
  </si>
  <si>
    <t>Canine Candor, Inc.</t>
  </si>
  <si>
    <t>28484 County Road 76</t>
  </si>
  <si>
    <t>PL000211</t>
  </si>
  <si>
    <t>CARBON VALLEY ANIMAL HOSPITAL</t>
  </si>
  <si>
    <t>101 W GRANT AVE</t>
  </si>
  <si>
    <t>PL000G90</t>
  </si>
  <si>
    <t>Cat Care Society</t>
  </si>
  <si>
    <t>5787 W 6th Ave</t>
  </si>
  <si>
    <t>PL0024Q0</t>
  </si>
  <si>
    <t>CATS ALIVE!</t>
  </si>
  <si>
    <t>11864 Willow St.</t>
  </si>
  <si>
    <t>Alamosa County</t>
  </si>
  <si>
    <t>PL000C7K</t>
  </si>
  <si>
    <t>Cavy Care Inc.</t>
  </si>
  <si>
    <t>4343 S. Jasper St.</t>
  </si>
  <si>
    <t>Arapahoe County</t>
  </si>
  <si>
    <t>PL002GG4</t>
  </si>
  <si>
    <t>Certified Pound Hounds</t>
  </si>
  <si>
    <t>2228 Robin Dr.</t>
  </si>
  <si>
    <t>PL000T9P</t>
  </si>
  <si>
    <t>Chihuahua &amp; Small Dog Rescue, Inc.</t>
  </si>
  <si>
    <t>50 H Mount View Lane</t>
  </si>
  <si>
    <t>PL000MLR</t>
  </si>
  <si>
    <t>Chow Dow Pet Supplies</t>
  </si>
  <si>
    <t>1260 Bergen Parkway</t>
  </si>
  <si>
    <t>PL001FAU</t>
  </si>
  <si>
    <t>Cisco Kidd, LLC</t>
  </si>
  <si>
    <t>22351 E Bayaud Ave</t>
  </si>
  <si>
    <t>PL0000DL</t>
  </si>
  <si>
    <t>City of Aurora Animal Shelter</t>
  </si>
  <si>
    <t>15750 E 32nd Ave</t>
  </si>
  <si>
    <t>PL0000EJ</t>
  </si>
  <si>
    <t>City of Brighton Animal Shelter</t>
  </si>
  <si>
    <t>325 1/2 N Kuner Rd</t>
  </si>
  <si>
    <t>PL000ADD</t>
  </si>
  <si>
    <t>City of Brush Animal Shelter</t>
  </si>
  <si>
    <t>20503 County Road 28</t>
  </si>
  <si>
    <t>Morgan County</t>
  </si>
  <si>
    <t>PL000AUJ</t>
  </si>
  <si>
    <t>City of Burlington Animal Shelter</t>
  </si>
  <si>
    <t>415 15th</t>
  </si>
  <si>
    <t>Kit Carson County</t>
  </si>
  <si>
    <t>PL000M2U</t>
  </si>
  <si>
    <t>City of Cortez Animal Shelter</t>
  </si>
  <si>
    <t>2791 E Main St</t>
  </si>
  <si>
    <t>Montezuma County</t>
  </si>
  <si>
    <t>PL000051</t>
  </si>
  <si>
    <t>City of Gunnison Animal shelter</t>
  </si>
  <si>
    <t>1100 w Virginia</t>
  </si>
  <si>
    <t>Gunnison County</t>
  </si>
  <si>
    <t>PL0006BZ</t>
  </si>
  <si>
    <t>CITY OF LA JUNTA ANIMAL SHELTER</t>
  </si>
  <si>
    <t>30227 6th Ave</t>
  </si>
  <si>
    <t>Otero County</t>
  </si>
  <si>
    <t>PL000H70</t>
  </si>
  <si>
    <t>City of Lafayette Animal Shelter</t>
  </si>
  <si>
    <t>1700 Distel Drive</t>
  </si>
  <si>
    <t>PL00008W</t>
  </si>
  <si>
    <t>City of Lamar Animal Shelter</t>
  </si>
  <si>
    <t>8551 County Rd. EE.5</t>
  </si>
  <si>
    <t>Prowers County</t>
  </si>
  <si>
    <t>PL00029L</t>
  </si>
  <si>
    <t>City of Montrose Animal Shelter</t>
  </si>
  <si>
    <t>3383 North Townsend Avenue</t>
  </si>
  <si>
    <t>Montrose County</t>
  </si>
  <si>
    <t>PL0000FG</t>
  </si>
  <si>
    <t>City of Rocky Ford Animal Shelter</t>
  </si>
  <si>
    <t>203 South 9th Street</t>
  </si>
  <si>
    <t>PL0006LF</t>
  </si>
  <si>
    <t>City of Walsenburg Animal Shelter</t>
  </si>
  <si>
    <t>305 Ray Sandoval Street</t>
  </si>
  <si>
    <t>Huerfano County</t>
  </si>
  <si>
    <t>PL000846</t>
  </si>
  <si>
    <t>City of Wray Animal Shelter</t>
  </si>
  <si>
    <t>100 E Badger Street</t>
  </si>
  <si>
    <t>Yuma County</t>
  </si>
  <si>
    <t>PL000AH5</t>
  </si>
  <si>
    <t>City of Yuma Animal Shelter</t>
  </si>
  <si>
    <t>102 N. Birch St</t>
  </si>
  <si>
    <t>PL0012LP</t>
  </si>
  <si>
    <t>CLAWS Rescue and Adoption Center</t>
  </si>
  <si>
    <t>2214 Sanford Drive, Unit A-5</t>
  </si>
  <si>
    <t>Mesa County</t>
  </si>
  <si>
    <t>PL000AAK</t>
  </si>
  <si>
    <t>Clearwater Dog Training &amp; Nikenos Second Chances</t>
  </si>
  <si>
    <t>5555 W. Evans Ave.</t>
  </si>
  <si>
    <t>Denver County</t>
  </si>
  <si>
    <t>PL000CUC</t>
  </si>
  <si>
    <t>Colorado Animal Rescue, Inc.</t>
  </si>
  <si>
    <t>2801 County Road 114</t>
  </si>
  <si>
    <t>Garfield County</t>
  </si>
  <si>
    <t>PL00143G</t>
  </si>
  <si>
    <t>Colorado Animal Welfare League</t>
  </si>
  <si>
    <t>8899 Steeplechase Drive</t>
  </si>
  <si>
    <t>PL0010SK</t>
  </si>
  <si>
    <t>Colorado Aussie Rescue</t>
  </si>
  <si>
    <t>9513 Milwaukee Ct</t>
  </si>
  <si>
    <t>PL0007YN</t>
  </si>
  <si>
    <t>Colorado Beagle Rescue</t>
  </si>
  <si>
    <t>4755 W. 102nd Place</t>
  </si>
  <si>
    <t>PL0013LK</t>
  </si>
  <si>
    <t>Colorado Canine Rescue</t>
  </si>
  <si>
    <t>3152 S Gilpin Street</t>
  </si>
  <si>
    <t>PL000A7R</t>
  </si>
  <si>
    <t>Colorado Greyhound Adoption</t>
  </si>
  <si>
    <t>8091 West Frost Ave</t>
  </si>
  <si>
    <t>PL000FR6</t>
  </si>
  <si>
    <t>Colorado House Rabbit Society</t>
  </si>
  <si>
    <t>12601 Lowell Blvd</t>
  </si>
  <si>
    <t>Broomfield County</t>
  </si>
  <si>
    <t>PL001CA5</t>
  </si>
  <si>
    <t>Colorado Japanese Chin Rescue</t>
  </si>
  <si>
    <t>16217 E. Tennessee Ave</t>
  </si>
  <si>
    <t>PL001TNN</t>
  </si>
  <si>
    <t>Colorado Peke and Pom Rescue</t>
  </si>
  <si>
    <t>14940 W 72nd Ave</t>
  </si>
  <si>
    <t>PL000AG7</t>
  </si>
  <si>
    <t>Colorado Pug Rescue</t>
  </si>
  <si>
    <t>59150 E. 74th Dr.</t>
  </si>
  <si>
    <t>PL000RZJ</t>
  </si>
  <si>
    <t>Colorado Puppy Rescue</t>
  </si>
  <si>
    <t>4553 s Mobile Way</t>
  </si>
  <si>
    <t>PL000ABH</t>
  </si>
  <si>
    <t>Colorado Reptile Humane Society</t>
  </si>
  <si>
    <t>13941 Elmore Road</t>
  </si>
  <si>
    <t>PL001EJG</t>
  </si>
  <si>
    <t>Colorado Saint Bernard Rescue</t>
  </si>
  <si>
    <t>3466 E County Road 20 Unit B-19</t>
  </si>
  <si>
    <t>PL000GN8</t>
  </si>
  <si>
    <t>Colorado Sheltie Rescue</t>
  </si>
  <si>
    <t>4353 S. Lincoln St.</t>
  </si>
  <si>
    <t>PL0009J7</t>
  </si>
  <si>
    <t>Colorado Springs All Breed Rescue, Inc.</t>
  </si>
  <si>
    <t>20 Mount View Lane, Unit C</t>
  </si>
  <si>
    <t>PL00131Q</t>
  </si>
  <si>
    <t>COLORADO WYOMING VIZSLA RESCUE GROUP</t>
  </si>
  <si>
    <t>114 Summitview Drive</t>
  </si>
  <si>
    <t>PL002LLD</t>
  </si>
  <si>
    <t>Community Cats of Colorado</t>
  </si>
  <si>
    <t>2043 Eaton Street</t>
  </si>
  <si>
    <t>PL000BCB</t>
  </si>
  <si>
    <t>County of Bent/City of Las Animas Animal Shelter</t>
  </si>
  <si>
    <t>11200 Co Rd GG.5</t>
  </si>
  <si>
    <t>Bent County</t>
  </si>
  <si>
    <t>PL000YBY</t>
  </si>
  <si>
    <t>County of Clear Creek Animal Shelter</t>
  </si>
  <si>
    <t>500 W. Dumont Rd.</t>
  </si>
  <si>
    <t>Clear Creek County</t>
  </si>
  <si>
    <t>PL0008HD</t>
  </si>
  <si>
    <t>County of Park Animal Shelter</t>
  </si>
  <si>
    <t>59815 US HWY 285</t>
  </si>
  <si>
    <t>Park County</t>
  </si>
  <si>
    <t>PL00065C</t>
  </si>
  <si>
    <t>CRIPPLE CREEK ANIMAL SHELTER</t>
  </si>
  <si>
    <t>550 HAYDEN</t>
  </si>
  <si>
    <t>PL0006XU</t>
  </si>
  <si>
    <t>Dalmatian Rescue of Colorado</t>
  </si>
  <si>
    <t>6828 Rim Rock Valley Lane</t>
  </si>
  <si>
    <t>PL00282V</t>
  </si>
  <si>
    <t>Dancing Dog Rescue and Recovery Ranch, Inc.</t>
  </si>
  <si>
    <t>8759 CR 55</t>
  </si>
  <si>
    <t>PL000GCU</t>
  </si>
  <si>
    <t>Dave and Mary Jackson</t>
  </si>
  <si>
    <t>11356 Rd. 25.4</t>
  </si>
  <si>
    <t>PL001H6U</t>
  </si>
  <si>
    <t>Delta County CAWS</t>
  </si>
  <si>
    <t>640 W. 4th Street</t>
  </si>
  <si>
    <t>PL000DA9</t>
  </si>
  <si>
    <t>Delta County Humane Society</t>
  </si>
  <si>
    <t>PO Box 1111</t>
  </si>
  <si>
    <t>PL002A7B</t>
  </si>
  <si>
    <t>Demi's Animal Rescue</t>
  </si>
  <si>
    <t>23965 E Kettle Pl</t>
  </si>
  <si>
    <t>PL001BV6</t>
  </si>
  <si>
    <t>Denver Animal Shelter</t>
  </si>
  <si>
    <t>1241 W. Bayaud Ave</t>
  </si>
  <si>
    <t>PL001XEN</t>
  </si>
  <si>
    <t>Denver Dachshunds Rescue and Transport</t>
  </si>
  <si>
    <t>1165 Hereford Dr</t>
  </si>
  <si>
    <t>PL0011JX</t>
  </si>
  <si>
    <t>Divide Creek Animal Hospital</t>
  </si>
  <si>
    <t>470 CR 31</t>
  </si>
  <si>
    <t>PL0027Z4</t>
  </si>
  <si>
    <t>Do Over Dogs A Second Chance At Life</t>
  </si>
  <si>
    <t>13437 Bryant Way</t>
  </si>
  <si>
    <t>CO</t>
  </si>
  <si>
    <t>PL0009QW</t>
  </si>
  <si>
    <t>Doberman Rescue of Colorado</t>
  </si>
  <si>
    <t>3071 S Ogden St</t>
  </si>
  <si>
    <t>PL001GFE</t>
  </si>
  <si>
    <t>Doggie Designs/shelter</t>
  </si>
  <si>
    <t>6508 s lunar ct</t>
  </si>
  <si>
    <t>PL001YL6</t>
  </si>
  <si>
    <t>Doggy Dog World Rescue</t>
  </si>
  <si>
    <t>7715 Crystal Lake Ct.</t>
  </si>
  <si>
    <t>PL002D70</t>
  </si>
  <si>
    <t>Douglas County Canine Rescue</t>
  </si>
  <si>
    <t>300 e miller ct #1514</t>
  </si>
  <si>
    <t>PL000027</t>
  </si>
  <si>
    <t>DUMB FRIENDS LEAGUE / HUMANE SOCIETY OF DENVER</t>
  </si>
  <si>
    <t>2080 S QUEBEC STREET</t>
  </si>
  <si>
    <t>PL000AQS</t>
  </si>
  <si>
    <t>Eagle County Animal Shelter &amp; Services</t>
  </si>
  <si>
    <t>1400 Fairgrounds Rd</t>
  </si>
  <si>
    <t>Eagle County</t>
  </si>
  <si>
    <t>PL0010AJ</t>
  </si>
  <si>
    <t>Eagle Valley Humane Society</t>
  </si>
  <si>
    <t>50 Chambers Ave, Unit B</t>
  </si>
  <si>
    <t>PL000RL9</t>
  </si>
  <si>
    <t>Eaton Animal Den</t>
  </si>
  <si>
    <t>231 South Elm Ave</t>
  </si>
  <si>
    <t>PL000RHF</t>
  </si>
  <si>
    <t>English Springer Rescue America, Inc</t>
  </si>
  <si>
    <t>12136 Swansea Dr</t>
  </si>
  <si>
    <t>PL000PZS</t>
  </si>
  <si>
    <t>Estes Park Pet Lodge,inc</t>
  </si>
  <si>
    <t>1260 Manford Ave.</t>
  </si>
  <si>
    <t>PL000934</t>
  </si>
  <si>
    <t>Evergreen Animal Protective League</t>
  </si>
  <si>
    <t>32163 Soda Creek Dr</t>
  </si>
  <si>
    <t>PL000YUX</t>
  </si>
  <si>
    <t>Every Creature Counts</t>
  </si>
  <si>
    <t>1245 Factory Circle</t>
  </si>
  <si>
    <t>PL001QBP</t>
  </si>
  <si>
    <t>Farfel's Farm &amp; Rescue</t>
  </si>
  <si>
    <t>906 Pearl Street</t>
  </si>
  <si>
    <t>PL000AYA</t>
  </si>
  <si>
    <t>Flitesong Cage Bird Sanctuary</t>
  </si>
  <si>
    <t>685 Grey Eagle Cir N</t>
  </si>
  <si>
    <t>PL001822</t>
  </si>
  <si>
    <t>Foothills Animal Shelter</t>
  </si>
  <si>
    <t>580 McIntyre Street</t>
  </si>
  <si>
    <t>PL000WYX</t>
  </si>
  <si>
    <t>For Pets' Sake Humane Society</t>
  </si>
  <si>
    <t>19630 Rd. G</t>
  </si>
  <si>
    <t>PL001XYK</t>
  </si>
  <si>
    <t>Forgotten Felines Rescue</t>
  </si>
  <si>
    <t>3124 S. Parker Rd Suite A2-607</t>
  </si>
  <si>
    <t>PL000Y1H</t>
  </si>
  <si>
    <t>Fort Collins Cat Rescue &amp; Spay/Neuter Clinic</t>
  </si>
  <si>
    <t>2321 East Mulberry Street #1</t>
  </si>
  <si>
    <t>PL00122S</t>
  </si>
  <si>
    <t>Fort Morgan Humane Society</t>
  </si>
  <si>
    <t>900 East Railroad P.O. Box 24</t>
  </si>
  <si>
    <t>PL000PPB</t>
  </si>
  <si>
    <t>Freedom Service Dogs, Inc</t>
  </si>
  <si>
    <t>2000 W Union Ave</t>
  </si>
  <si>
    <t>PL000GBW</t>
  </si>
  <si>
    <t>Friends of Retired Greyhounds</t>
  </si>
  <si>
    <t>PO Box 29678</t>
  </si>
  <si>
    <t>PL001AJY</t>
  </si>
  <si>
    <t>Front range German Shepherd rescue</t>
  </si>
  <si>
    <t>2688 S. Cherokee St</t>
  </si>
  <si>
    <t>PL000766</t>
  </si>
  <si>
    <t>Ft. Lupton Veterinary Hospital</t>
  </si>
  <si>
    <t>1025 1st Street</t>
  </si>
  <si>
    <t>PL0010TH</t>
  </si>
  <si>
    <t>German Shepherd Rescue Of Central Colorado</t>
  </si>
  <si>
    <t>2660 Campfire Rd</t>
  </si>
  <si>
    <t>PL001BIT</t>
  </si>
  <si>
    <t>german shepherd rescue of the rockies</t>
  </si>
  <si>
    <t>20518 highway 52</t>
  </si>
  <si>
    <t>PL001011</t>
  </si>
  <si>
    <t>Golden Retreiver Freedom Rescue</t>
  </si>
  <si>
    <t>8653 E 148th Lane</t>
  </si>
  <si>
    <t>PL001G50</t>
  </si>
  <si>
    <t>Golden Retriever Rescue of the Rockies</t>
  </si>
  <si>
    <t>15350 W. 72nd Ave.</t>
  </si>
  <si>
    <t>PL002NK7</t>
  </si>
  <si>
    <t>Good Samaritan Pet Center</t>
  </si>
  <si>
    <t>2831 W 24th Ave</t>
  </si>
  <si>
    <t>PL0027E7</t>
  </si>
  <si>
    <t>Graceland Animal Rescue</t>
  </si>
  <si>
    <t>361 Rosevale Road</t>
  </si>
  <si>
    <t>PL0007AX</t>
  </si>
  <si>
    <t>Grand County Animal Shelter</t>
  </si>
  <si>
    <t>3475 County Rd 57</t>
  </si>
  <si>
    <t>Grand County</t>
  </si>
  <si>
    <t>PL000R56</t>
  </si>
  <si>
    <t>GRAND RIVERS HUMANE SOCIETY</t>
  </si>
  <si>
    <t>831 COLORADO AVE</t>
  </si>
  <si>
    <t>PL0029U8</t>
  </si>
  <si>
    <t>Great Pyrenees Rescue and Sanctuary</t>
  </si>
  <si>
    <t>11603 Bradshaw Road</t>
  </si>
  <si>
    <t>PL00239Z</t>
  </si>
  <si>
    <t>Gunnison Valley Animal Welfare League</t>
  </si>
  <si>
    <t>98 Basin Park Drive</t>
  </si>
  <si>
    <t>PL0001Z9</t>
  </si>
  <si>
    <t>Hallcrest Kennel</t>
  </si>
  <si>
    <t>2046 County Road 158</t>
  </si>
  <si>
    <t>PL001EUV</t>
  </si>
  <si>
    <t>Happy Cats Haven</t>
  </si>
  <si>
    <t>1412 S. 21st st</t>
  </si>
  <si>
    <t>PL001VGS</t>
  </si>
  <si>
    <t>Happy Landings Animal Rescue</t>
  </si>
  <si>
    <t>2303 Strawfork Dr.</t>
  </si>
  <si>
    <t>PL00050S</t>
  </si>
  <si>
    <t>Happy Tails</t>
  </si>
  <si>
    <t>23798 Hwy 24</t>
  </si>
  <si>
    <t>PL001SUG</t>
  </si>
  <si>
    <t>Harley's Hope Foundation</t>
  </si>
  <si>
    <t>13455 Highline Drive</t>
  </si>
  <si>
    <t>PL0023Q3</t>
  </si>
  <si>
    <t>HeartFire Enterprises, Inc dba Happy Haven Farm &amp; Sanctuary</t>
  </si>
  <si>
    <t>67500 E. County Rd. 34</t>
  </si>
  <si>
    <t>PL0006R5</t>
  </si>
  <si>
    <t>High Country Basset Hound Rescue</t>
  </si>
  <si>
    <t>22791 E. Euclid Cir</t>
  </si>
  <si>
    <t>PL0000GE</t>
  </si>
  <si>
    <t>Highland Veterinary Clinic,PC</t>
  </si>
  <si>
    <t>206 Second St.</t>
  </si>
  <si>
    <t>PL00082A</t>
  </si>
  <si>
    <t>HO-BO Care Boxer Rescue</t>
  </si>
  <si>
    <t>1112 East Bayaud Ave</t>
  </si>
  <si>
    <t>PL0026YA</t>
  </si>
  <si>
    <t>HomeComings Dog Rescue</t>
  </si>
  <si>
    <t>401 Saulsbury St.</t>
  </si>
  <si>
    <t>PL0013MH</t>
  </si>
  <si>
    <t>HOOF AND PAW (WEST END ANIMAL ASSIST</t>
  </si>
  <si>
    <t>606 Cascade Circle</t>
  </si>
  <si>
    <t>PL000UK0</t>
  </si>
  <si>
    <t>Hope For Animals -Clear Creek Rescue</t>
  </si>
  <si>
    <t>1133 Lodgepole Drive</t>
  </si>
  <si>
    <t>PL000019</t>
  </si>
  <si>
    <t>Humane Society of Boulder Valley</t>
  </si>
  <si>
    <t>2323 55th St</t>
  </si>
  <si>
    <t>PL000043</t>
  </si>
  <si>
    <t>Humane Society of Fremont County</t>
  </si>
  <si>
    <t>110 Rhoades Ave</t>
  </si>
  <si>
    <t>PL000X87</t>
  </si>
  <si>
    <t>Humane Society of Pagosa Springs</t>
  </si>
  <si>
    <t>465 Cloman Blvd</t>
  </si>
  <si>
    <t>Archuleta</t>
  </si>
  <si>
    <t>PL000035</t>
  </si>
  <si>
    <t>Humane society of the pikes peak region</t>
  </si>
  <si>
    <t>610 abbot lane</t>
  </si>
  <si>
    <t>PL00150J</t>
  </si>
  <si>
    <t>Humane Society of the South Platte Valley, Inc.</t>
  </si>
  <si>
    <t>2129 W. Chenango Avenue</t>
  </si>
  <si>
    <t>PL001UGW</t>
  </si>
  <si>
    <t>Humane Society of Weld County</t>
  </si>
  <si>
    <t>1620 42nd Street</t>
  </si>
  <si>
    <t>PL000KRP</t>
  </si>
  <si>
    <t>Indigo Mountain Nature Center, Inc.</t>
  </si>
  <si>
    <t>1321 CR 370</t>
  </si>
  <si>
    <t>PL000694</t>
  </si>
  <si>
    <t>Intermountain Humane Society</t>
  </si>
  <si>
    <t>67318 US Hwy 285</t>
  </si>
  <si>
    <t>PL000GZK</t>
  </si>
  <si>
    <t>International Hearing Dog, Inc.</t>
  </si>
  <si>
    <t>5901 E. 89th Ave.</t>
  </si>
  <si>
    <t>PL00274T</t>
  </si>
  <si>
    <t>iResQ RR</t>
  </si>
  <si>
    <t>28000 Meadow Dr</t>
  </si>
  <si>
    <t>PL0028H0</t>
  </si>
  <si>
    <t>Katmandu Paonia</t>
  </si>
  <si>
    <t>40380 Mathews Lane</t>
  </si>
  <si>
    <t>PL002A4H</t>
  </si>
  <si>
    <t>Kloer Veterinary LLC / Garden Valley Veterinary Hospital</t>
  </si>
  <si>
    <t>32450 Hwy 257</t>
  </si>
  <si>
    <t>PL001GAQ</t>
  </si>
  <si>
    <t>L.O.L.A.'S Rescue</t>
  </si>
  <si>
    <t>6005 S Taft Way</t>
  </si>
  <si>
    <t>PL000060</t>
  </si>
  <si>
    <t>La Plata County Humane Society</t>
  </si>
  <si>
    <t>1111 S Camino Del Rio</t>
  </si>
  <si>
    <t>PL000UCD</t>
  </si>
  <si>
    <t>Lamar Animal Sanctuary Team</t>
  </si>
  <si>
    <t>6950 US Hwy 50</t>
  </si>
  <si>
    <t>PL0004FZ</t>
  </si>
  <si>
    <t>LAND OF AHS KENNEL</t>
  </si>
  <si>
    <t>12599 JORDAN ROAD</t>
  </si>
  <si>
    <t>PL00007Y</t>
  </si>
  <si>
    <t>Larimer Humane Society</t>
  </si>
  <si>
    <t>6317 Kyle Ave</t>
  </si>
  <si>
    <t>PL000JQV</t>
  </si>
  <si>
    <t>Leadville/Lake Co Animal Shelter</t>
  </si>
  <si>
    <t>428 E12th street</t>
  </si>
  <si>
    <t>Lake County</t>
  </si>
  <si>
    <t>PL0019X8</t>
  </si>
  <si>
    <t>LIFE IS BETTER RESCUE</t>
  </si>
  <si>
    <t>1051 S QUITMAN STREET</t>
  </si>
  <si>
    <t>PL0021U3</t>
  </si>
  <si>
    <t>3535 SOUTH ALLISON STREET</t>
  </si>
  <si>
    <t>PL000X3H</t>
  </si>
  <si>
    <t>Lifeline Pet Rescue</t>
  </si>
  <si>
    <t>15171 Riverdale Road Unit B</t>
  </si>
  <si>
    <t>PL002BCY</t>
  </si>
  <si>
    <t>Lions Head Pet Center</t>
  </si>
  <si>
    <t>2047 Mt. Evans Blvd</t>
  </si>
  <si>
    <t>PL000QAZ</t>
  </si>
  <si>
    <t>Logan County Humane Society</t>
  </si>
  <si>
    <t>2250 Leisure Lane</t>
  </si>
  <si>
    <t>Logan County</t>
  </si>
  <si>
    <t>PL000ZAW</t>
  </si>
  <si>
    <t>Loma Cat House inc</t>
  </si>
  <si>
    <t>774 23 Rd</t>
  </si>
  <si>
    <t>PL0003X5</t>
  </si>
  <si>
    <t>Longmont Humane Society</t>
  </si>
  <si>
    <t>9595 Nelson Road</t>
  </si>
  <si>
    <t>PL002614</t>
  </si>
  <si>
    <t>Look what the cat brought in</t>
  </si>
  <si>
    <t>2129 E Boulder</t>
  </si>
  <si>
    <t>PL001F37</t>
  </si>
  <si>
    <t>Lucky Day Animal Rescue of Colorado</t>
  </si>
  <si>
    <t>75 Bus Barn Lane</t>
  </si>
  <si>
    <t>PL00187R</t>
  </si>
  <si>
    <t>Lucky Dog Rescue</t>
  </si>
  <si>
    <t>4401 Mark Dabling Blvd</t>
  </si>
  <si>
    <t>PL0012FZ</t>
  </si>
  <si>
    <t>Lucky Paws Rescue</t>
  </si>
  <si>
    <t>4455 Gladiola Street</t>
  </si>
  <si>
    <t>PL00197M</t>
  </si>
  <si>
    <t>Majestic Canine Rescue</t>
  </si>
  <si>
    <t>35780 E Jones Rd</t>
  </si>
  <si>
    <t>PL001FM6</t>
  </si>
  <si>
    <t>MaxFund Cat Adoption Center</t>
  </si>
  <si>
    <t>720 W. 10th ave</t>
  </si>
  <si>
    <t>PL000926</t>
  </si>
  <si>
    <t>MaxFund Dog Adoption Center</t>
  </si>
  <si>
    <t>1005 N. Galapago St.</t>
  </si>
  <si>
    <t>PL0016Q0</t>
  </si>
  <si>
    <t>Mesa County Animal Services</t>
  </si>
  <si>
    <t>971 Coffman Road #A</t>
  </si>
  <si>
    <t>PL001W3D</t>
  </si>
  <si>
    <t>Metro Denver Parrot Rescue</t>
  </si>
  <si>
    <t>17840 Mimosa St.</t>
  </si>
  <si>
    <t>PL002ECL</t>
  </si>
  <si>
    <t>Mile High Dachshunds Rescue</t>
  </si>
  <si>
    <t>5290 S Geneva Way</t>
  </si>
  <si>
    <t>PL002HPK</t>
  </si>
  <si>
    <t>Mile High German Shorthaired Pointer Rescue</t>
  </si>
  <si>
    <t>1344 Euclid Avenue</t>
  </si>
  <si>
    <t>PL00184X</t>
  </si>
  <si>
    <t>Mile High Labrador Retriever Mission</t>
  </si>
  <si>
    <t>PO Box 1975</t>
  </si>
  <si>
    <t>PL000XIM</t>
  </si>
  <si>
    <t>Mile High Weimaraner Rescue</t>
  </si>
  <si>
    <t>17531 E. 104th Place</t>
  </si>
  <si>
    <t>PL000UWC</t>
  </si>
  <si>
    <t>Misha May Foundation</t>
  </si>
  <si>
    <t>120 S Kendall St</t>
  </si>
  <si>
    <t>PL001V1M</t>
  </si>
  <si>
    <t>Mountain High Collie &amp; Sheltie Rescue</t>
  </si>
  <si>
    <t>1875 South Ammons St.</t>
  </si>
  <si>
    <t>PL001GBN</t>
  </si>
  <si>
    <t>Mountain Pet Rescue</t>
  </si>
  <si>
    <t>36 County Road 8591</t>
  </si>
  <si>
    <t>PL001PP3</t>
  </si>
  <si>
    <t>My Fairy Dawg Mother Rescue Inc</t>
  </si>
  <si>
    <t>545 Ursula Street</t>
  </si>
  <si>
    <t>PL001G17</t>
  </si>
  <si>
    <t>My Second Home Rescue</t>
  </si>
  <si>
    <t>13433 County Road 108</t>
  </si>
  <si>
    <t>PL0011UB</t>
  </si>
  <si>
    <t>National Mill Dog Rescue</t>
  </si>
  <si>
    <t>5335 JD Johnson Road</t>
  </si>
  <si>
    <t>PL000VLS</t>
  </si>
  <si>
    <t>New Hope Cattle Dogs Rescue &amp; Rehoming</t>
  </si>
  <si>
    <t>47073 Silver Fir St.</t>
  </si>
  <si>
    <t>PL000M6L</t>
  </si>
  <si>
    <t>Noah's Ark Animal Welfare Association</t>
  </si>
  <si>
    <t>224 North Chestnut</t>
  </si>
  <si>
    <t>PL001F29</t>
  </si>
  <si>
    <t>North Star Siberian Husky Rescue</t>
  </si>
  <si>
    <t>18725 Saint Andrews Drive</t>
  </si>
  <si>
    <t>PL0029RE</t>
  </si>
  <si>
    <t>Oh Be Dogful Rescue</t>
  </si>
  <si>
    <t>336B Buckley Dr</t>
  </si>
  <si>
    <t>PL001SVE</t>
  </si>
  <si>
    <t>OutPaws</t>
  </si>
  <si>
    <t>8341 Sangre de Cristo Rd Ste 106</t>
  </si>
  <si>
    <t>PL00294M</t>
  </si>
  <si>
    <t>Painted Paws for Veterans</t>
  </si>
  <si>
    <t>839 Deer Run Dr</t>
  </si>
  <si>
    <t>PL00154A</t>
  </si>
  <si>
    <t>Pals Forever Animal Rescue</t>
  </si>
  <si>
    <t>P.O. Box 15602</t>
  </si>
  <si>
    <t>PL000YWT</t>
  </si>
  <si>
    <t>Paradise Animal Welfare Society</t>
  </si>
  <si>
    <t>26651 Hwy 135 (POB 531)</t>
  </si>
  <si>
    <t>PL000UH3</t>
  </si>
  <si>
    <t>Paws and People</t>
  </si>
  <si>
    <t>1101 Harrison St</t>
  </si>
  <si>
    <t>PL00009U</t>
  </si>
  <si>
    <t>Paws For Life</t>
  </si>
  <si>
    <t>800 N Pueblo Blvd</t>
  </si>
  <si>
    <t>Pueblo County</t>
  </si>
  <si>
    <t>PL001UV4</t>
  </si>
  <si>
    <t>PawsCo Adoptions</t>
  </si>
  <si>
    <t>PO Box 6261</t>
  </si>
  <si>
    <t>PL000HXK</t>
  </si>
  <si>
    <t>Peak View Animal Hospital</t>
  </si>
  <si>
    <t>1050 CR JJ</t>
  </si>
  <si>
    <t>PL000XFU</t>
  </si>
  <si>
    <t>Peanut's Place Bully Rescue</t>
  </si>
  <si>
    <t>33815 Torrence Rd</t>
  </si>
  <si>
    <t>PL000XXV</t>
  </si>
  <si>
    <t>Pembroke Welsh Corgi Club of the Rockies</t>
  </si>
  <si>
    <t>1 Glenridge Dr.</t>
  </si>
  <si>
    <t>PL0018SN</t>
  </si>
  <si>
    <t>Perfect Unions Animal Rescue Foundation</t>
  </si>
  <si>
    <t>726 Burning Mtn. Ave.</t>
  </si>
  <si>
    <t>PL000HM6</t>
  </si>
  <si>
    <t>Pet Association of Estes Park Inc</t>
  </si>
  <si>
    <t>PO Box 4342</t>
  </si>
  <si>
    <t>PL000JPX</t>
  </si>
  <si>
    <t>pet project</t>
  </si>
  <si>
    <t>489 s ferncliff dr</t>
  </si>
  <si>
    <t>PL0028C9</t>
  </si>
  <si>
    <t>PETCO / Dumb Friends League</t>
  </si>
  <si>
    <t>4100 E. Mexico Ave</t>
  </si>
  <si>
    <t>PL000S9T</t>
  </si>
  <si>
    <t>Platteville Police Department</t>
  </si>
  <si>
    <t>400 Grand Avenue</t>
  </si>
  <si>
    <t>PL000WE0</t>
  </si>
  <si>
    <t>pueblo animal services</t>
  </si>
  <si>
    <t>4600 eagleridge place</t>
  </si>
  <si>
    <t>PL001U99</t>
  </si>
  <si>
    <t>Red Hill Animal Health Center</t>
  </si>
  <si>
    <t>955 Cowen Drive</t>
  </si>
  <si>
    <t>PL002EBN</t>
  </si>
  <si>
    <t>Rescuing Unwanted Furry Friends Sanctuary</t>
  </si>
  <si>
    <t>626 Livvy Ct</t>
  </si>
  <si>
    <t>PL000UPS</t>
  </si>
  <si>
    <t>Retriever Rescue of Colorado, Inc.</t>
  </si>
  <si>
    <t>30616 Bryant Dr.</t>
  </si>
  <si>
    <t>PL0021JP</t>
  </si>
  <si>
    <t>RezDawg Rescue</t>
  </si>
  <si>
    <t>14138 Burgess Lane</t>
  </si>
  <si>
    <t>PL0006JK</t>
  </si>
  <si>
    <t>Rifle Animal Shelter</t>
  </si>
  <si>
    <t>0569 cord 265</t>
  </si>
  <si>
    <t>PL0012Y0</t>
  </si>
  <si>
    <t>Rocky Mountain Cocker Rescue</t>
  </si>
  <si>
    <t>6680 S Abilene Way</t>
  </si>
  <si>
    <t>PL000L6Q</t>
  </si>
  <si>
    <t>Rocky Mountain Collie and Sheltie Rescue Inc.</t>
  </si>
  <si>
    <t>234 S. Hacienda Del Sol Dr.</t>
  </si>
  <si>
    <t>PL00028N</t>
  </si>
  <si>
    <t>Rocky Mountain Feline Rescue</t>
  </si>
  <si>
    <t>2390 S Delaware St</t>
  </si>
  <si>
    <t>PL000HBS</t>
  </si>
  <si>
    <t>Rocky Mountain Great Dane Rescue, Inc.</t>
  </si>
  <si>
    <t>12277 W Tennessee Ave</t>
  </si>
  <si>
    <t>PL000YQ6</t>
  </si>
  <si>
    <t>Rocky Mountain Lab Rescue</t>
  </si>
  <si>
    <t>280 E. 1st Ave. #1623</t>
  </si>
  <si>
    <t>PL0017ZC</t>
  </si>
  <si>
    <t>Rocky Mountain Puppy Rescue</t>
  </si>
  <si>
    <t>15492 County Road 6</t>
  </si>
  <si>
    <t>PL000Q3E</t>
  </si>
  <si>
    <t>Rocky Mountain Siamese Rescue</t>
  </si>
  <si>
    <t>1837 24th Avenue Court</t>
  </si>
  <si>
    <t>PL0017GB</t>
  </si>
  <si>
    <t>Rocky Mountain Yorkie Rescue</t>
  </si>
  <si>
    <t>10285 Tracery Ct.</t>
  </si>
  <si>
    <t>PL001DGQ</t>
  </si>
  <si>
    <t>Roice Hurst Humane Society</t>
  </si>
  <si>
    <t>362 28 Rd.</t>
  </si>
  <si>
    <t>PL000V2T</t>
  </si>
  <si>
    <t>Rottie Aid</t>
  </si>
  <si>
    <t>7049 South Allison Way</t>
  </si>
  <si>
    <t>PL002C65</t>
  </si>
  <si>
    <t>Routt County Humane Society</t>
  </si>
  <si>
    <t>760 Critter Ct.</t>
  </si>
  <si>
    <t>Routt County</t>
  </si>
  <si>
    <t>Pl001Q0C</t>
  </si>
  <si>
    <t>RUFF Rescue</t>
  </si>
  <si>
    <t>1424 Dayton Street</t>
  </si>
  <si>
    <t>PL0017CK</t>
  </si>
  <si>
    <t>running dog ranch</t>
  </si>
  <si>
    <t>15304 Road 30</t>
  </si>
  <si>
    <t>PL000VPL</t>
  </si>
  <si>
    <t>Safe Harbor Lab Rescue</t>
  </si>
  <si>
    <t>601 16th Street #C322</t>
  </si>
  <si>
    <t>PL001VC0</t>
  </si>
  <si>
    <t>Safe Place, Inc</t>
  </si>
  <si>
    <t>1141 Manitou Ave</t>
  </si>
  <si>
    <t>PL000XCO</t>
  </si>
  <si>
    <t>San Luis Valley Animal Welfare Society</t>
  </si>
  <si>
    <t>23700 Rito Seco Road</t>
  </si>
  <si>
    <t>Costilla County</t>
  </si>
  <si>
    <t>PL001J8L</t>
  </si>
  <si>
    <t>Save the Giants</t>
  </si>
  <si>
    <t>2935 N Monroe St</t>
  </si>
  <si>
    <t>PL002BT2</t>
  </si>
  <si>
    <t>Saving Dobermankind Animal Rescue</t>
  </si>
  <si>
    <t>254 W. Midway Blvd.</t>
  </si>
  <si>
    <t>PL000QP7</t>
  </si>
  <si>
    <t>Second Chance Animal Rescue Foundation</t>
  </si>
  <si>
    <t>4852 County Road HH</t>
  </si>
  <si>
    <t>PL001F9W</t>
  </si>
  <si>
    <t>SECOND CHANCE HUMANE SOCIETY</t>
  </si>
  <si>
    <t>177 COUNTY RD 10</t>
  </si>
  <si>
    <t>Ouray County</t>
  </si>
  <si>
    <t>PL0010UF</t>
  </si>
  <si>
    <t>Shiba Scout Rescue (d.b.a. Colorado Shiba Inu Rescue)</t>
  </si>
  <si>
    <t>2233 E. Panama Dr.</t>
  </si>
  <si>
    <t>PL002GQM</t>
  </si>
  <si>
    <t>Soul Dog Rescue</t>
  </si>
  <si>
    <t>4725 S Kalamath St</t>
  </si>
  <si>
    <t>PL001QJ9</t>
  </si>
  <si>
    <t>Southern Colorado Animal Rescue DBA Black Forest Animal Sanctuary</t>
  </si>
  <si>
    <t>16750 Thompson Road</t>
  </si>
  <si>
    <t>PL000YCW</t>
  </si>
  <si>
    <t>Southern Colorado Spay and Neuter Association</t>
  </si>
  <si>
    <t>1700 S Prairie Ave</t>
  </si>
  <si>
    <t>PL0000CN</t>
  </si>
  <si>
    <t>Summit County Animal Control and Shelter</t>
  </si>
  <si>
    <t>0058 Nancy's Place</t>
  </si>
  <si>
    <t>PL001R4Z</t>
  </si>
  <si>
    <t>Summit Dog Rescue</t>
  </si>
  <si>
    <t>1527 Sumac Avenue</t>
  </si>
  <si>
    <t>PL002H7J</t>
  </si>
  <si>
    <t>Sunshine Canyon Dog Rescue</t>
  </si>
  <si>
    <t>4605 Moorhead</t>
  </si>
  <si>
    <t>PL001A7K</t>
  </si>
  <si>
    <t>Surface Creek Shelter</t>
  </si>
  <si>
    <t>265 SE High Country Avenue</t>
  </si>
  <si>
    <t>PL0007EP</t>
  </si>
  <si>
    <t>Teller County Regional Animal Shelter</t>
  </si>
  <si>
    <t>308 Weaverville Rd</t>
  </si>
  <si>
    <t>PL000GQ4</t>
  </si>
  <si>
    <t>The Dumb Friends League Buddy Center</t>
  </si>
  <si>
    <t>4556 Castleton Ct</t>
  </si>
  <si>
    <t>PL000RTW</t>
  </si>
  <si>
    <t>The Gabriel Foundation</t>
  </si>
  <si>
    <t>39520 County road 13</t>
  </si>
  <si>
    <t>PL000SZE</t>
  </si>
  <si>
    <t>1025 Acoma St</t>
  </si>
  <si>
    <t>PL0027H1</t>
  </si>
  <si>
    <t>The Misfits Dog Rescue</t>
  </si>
  <si>
    <t>189 Norman dr.</t>
  </si>
  <si>
    <t>PL00283T</t>
  </si>
  <si>
    <t>Toby Darwin Foundation</t>
  </si>
  <si>
    <t>626 North Hollywood St.</t>
  </si>
  <si>
    <t>PL0009AP</t>
  </si>
  <si>
    <t>Town of Akron</t>
  </si>
  <si>
    <t>602 W. 1st St</t>
  </si>
  <si>
    <t>Washington County</t>
  </si>
  <si>
    <t>PL000D3P</t>
  </si>
  <si>
    <t>Town of Cheyenne Wells</t>
  </si>
  <si>
    <t>695 North 3 East</t>
  </si>
  <si>
    <t>Cheyenne County</t>
  </si>
  <si>
    <t>PL001LQD</t>
  </si>
  <si>
    <t>Town of Crested Butte</t>
  </si>
  <si>
    <t>803 Butte Avenue</t>
  </si>
  <si>
    <t>PL000D9B</t>
  </si>
  <si>
    <t>Town of Dove Creek</t>
  </si>
  <si>
    <t>200 S Main St</t>
  </si>
  <si>
    <t>Dolores County</t>
  </si>
  <si>
    <t>PL001P0G</t>
  </si>
  <si>
    <t>Town of Eads Dog Shelter</t>
  </si>
  <si>
    <t>15103 US HWY 287</t>
  </si>
  <si>
    <t>Kiowa County</t>
  </si>
  <si>
    <t>PL000CMS</t>
  </si>
  <si>
    <t>Town of La Veta</t>
  </si>
  <si>
    <t>113 S. Main Street</t>
  </si>
  <si>
    <t>PL0002H4</t>
  </si>
  <si>
    <t>Town of Limon Animal Shelter</t>
  </si>
  <si>
    <t>701 Indiana</t>
  </si>
  <si>
    <t>Lincoln County</t>
  </si>
  <si>
    <t>PL0009GB</t>
  </si>
  <si>
    <t>Town of Meeker Animal Control Facility</t>
  </si>
  <si>
    <t>109 3rd St</t>
  </si>
  <si>
    <t>Rio Blanco County</t>
  </si>
  <si>
    <t>PL000QKF</t>
  </si>
  <si>
    <t>Town of Naturita Animal Shelter</t>
  </si>
  <si>
    <t>26410 EE 26 Road</t>
  </si>
  <si>
    <t>PL0006Q7</t>
  </si>
  <si>
    <t>Town Of Rangely Animal Shelter</t>
  </si>
  <si>
    <t>407 1/2 Bronco Rd</t>
  </si>
  <si>
    <t>PL000HZF</t>
  </si>
  <si>
    <t>Town of Silver Cliff</t>
  </si>
  <si>
    <t>1011 Butler Street</t>
  </si>
  <si>
    <t>Custer County</t>
  </si>
  <si>
    <t>PL000D4M</t>
  </si>
  <si>
    <t>Town of Springfield</t>
  </si>
  <si>
    <t>748 Main Street</t>
  </si>
  <si>
    <t>Baca County</t>
  </si>
  <si>
    <t>PL0000BQ</t>
  </si>
  <si>
    <t>TOWN OF TELLURIDE ANIMAL SHELTER</t>
  </si>
  <si>
    <t>12000 STATE HIGHWAY 145</t>
  </si>
  <si>
    <t>San Miguel County</t>
  </si>
  <si>
    <t>PL000D8D</t>
  </si>
  <si>
    <t>Town of Westcliffe</t>
  </si>
  <si>
    <t>109 S. 7th</t>
  </si>
  <si>
    <t>PL0015AX</t>
  </si>
  <si>
    <t>Upper Rio Grande Animal Society</t>
  </si>
  <si>
    <t>2825 Sherman Ave</t>
  </si>
  <si>
    <t>Rio Grande County</t>
  </si>
  <si>
    <t>PL001Y19</t>
  </si>
  <si>
    <t>Valley Humane League</t>
  </si>
  <si>
    <t>7038 Hwy 160</t>
  </si>
  <si>
    <t>PL000N0U</t>
  </si>
  <si>
    <t>Vintage Dog Rescue, Inc.</t>
  </si>
  <si>
    <t>19 North Ranch Road</t>
  </si>
  <si>
    <t>PL0026VG</t>
  </si>
  <si>
    <t>Voices of the Wild Foundation</t>
  </si>
  <si>
    <t>60169 La Salle Road</t>
  </si>
  <si>
    <t>PL002198</t>
  </si>
  <si>
    <t>Waggin Tails Canine Rescue</t>
  </si>
  <si>
    <t>23404 E Dorado Pl #1D</t>
  </si>
  <si>
    <t>PL00053L</t>
  </si>
  <si>
    <t>Westie Rescue Network, Inc.</t>
  </si>
  <si>
    <t>2704 Windemere Lane</t>
  </si>
  <si>
    <t>PL0015CT</t>
  </si>
  <si>
    <t>Wild Blue Animal Rescue and Sanctuary</t>
  </si>
  <si>
    <t>5975 Burgess Rd</t>
  </si>
  <si>
    <t>PL0002G6</t>
  </si>
  <si>
    <t>Willow Run Feed and Supply Store</t>
  </si>
  <si>
    <t>5700 W 120th Ave</t>
  </si>
  <si>
    <t>PL000HN4</t>
  </si>
  <si>
    <t>WolfWood</t>
  </si>
  <si>
    <t>4352 CR 318</t>
  </si>
  <si>
    <t>Total</t>
  </si>
  <si>
    <t>Total Cat Count</t>
  </si>
  <si>
    <t>Total Outcomes</t>
  </si>
  <si>
    <t>Total Reported Ending Count</t>
  </si>
  <si>
    <t>Calculated ending Count</t>
  </si>
  <si>
    <t>Difference</t>
  </si>
  <si>
    <t>Juvenile Dogs: AVG LOS</t>
  </si>
  <si>
    <t>Total dog count</t>
  </si>
  <si>
    <t>Total Placements</t>
  </si>
  <si>
    <t>Reported ending count</t>
  </si>
  <si>
    <t>Calculated count</t>
  </si>
  <si>
    <t>Total Dogs In</t>
  </si>
  <si>
    <t>Total Dogs Out</t>
  </si>
  <si>
    <t>Total Cats In</t>
  </si>
  <si>
    <t>Total Cats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</si>
</sst>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0.000%"/>
  </numFmts>
  <fonts count="12">
    <font>
      <sz val="11.0"/>
      <color theme="1"/>
      <name val="Calibri"/>
      <scheme val="minor"/>
    </font>
    <font>
      <b/>
      <sz val="9.0"/>
      <color theme="1"/>
      <name val="Arial"/>
    </font>
    <font/>
    <font>
      <sz val="11.0"/>
      <color theme="1"/>
      <name val="Calibri"/>
    </font>
    <font>
      <sz val="7.0"/>
      <color theme="1"/>
      <name val="Arial"/>
    </font>
    <font>
      <b/>
      <sz val="7.0"/>
      <color rgb="FF000000"/>
      <name val="Arial"/>
    </font>
    <font>
      <b/>
      <sz val="6.0"/>
      <color theme="1"/>
      <name val="Arial"/>
    </font>
    <font>
      <i/>
      <sz val="6.0"/>
      <color theme="1"/>
      <name val="Arial"/>
    </font>
    <font>
      <sz val="6.0"/>
      <color theme="1"/>
      <name val="Arial"/>
    </font>
    <font>
      <sz val="6.0"/>
      <color rgb="FF000000"/>
      <name val="Arial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</fills>
  <borders count="26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top style="thin">
        <color rgb="FFC0C0C0"/>
      </top>
      <bottom style="thin">
        <color rgb="FF000000"/>
      </bottom>
    </border>
    <border>
      <top style="thin">
        <color rgb="FFC0C0C0"/>
      </top>
      <bottom style="thin">
        <color rgb="FF000000"/>
      </bottom>
    </border>
    <border>
      <right style="thin">
        <color rgb="FFC0C0C0"/>
      </right>
      <top style="thin">
        <color rgb="FFC0C0C0"/>
      </top>
      <bottom style="thin">
        <color rgb="FF000000"/>
      </bottom>
    </border>
    <border>
      <left style="thin">
        <color rgb="FFC0C0C0"/>
      </left>
      <right style="thin">
        <color rgb="FFFFFFFF"/>
      </right>
      <top style="thin">
        <color rgb="FFC0C0C0"/>
      </top>
      <bottom style="thin">
        <color rgb="FF000000"/>
      </bottom>
    </border>
    <border>
      <left style="thin">
        <color rgb="FFFFFFFF"/>
      </left>
      <right style="thin">
        <color rgb="FFC0C0C0"/>
      </right>
      <top style="thin">
        <color rgb="FFC0C0C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top" wrapText="0"/>
    </xf>
    <xf borderId="1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4" fillId="0" fontId="5" numFmtId="4" xfId="0" applyAlignment="1" applyBorder="1" applyFont="1" applyNumberFormat="1">
      <alignment horizontal="right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0" fontId="5" numFmtId="4" xfId="0" applyAlignment="1" applyBorder="1" applyFont="1" applyNumberFormat="1">
      <alignment horizontal="right" shrinkToFit="0" vertical="top" wrapText="1"/>
    </xf>
    <xf borderId="9" fillId="0" fontId="3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8" fillId="0" fontId="3" numFmtId="0" xfId="0" applyAlignment="1" applyBorder="1" applyFont="1">
      <alignment horizontal="left" shrinkToFit="0" vertical="top" wrapText="1"/>
    </xf>
    <xf borderId="10" fillId="2" fontId="3" numFmtId="0" xfId="0" applyAlignment="1" applyBorder="1" applyFill="1" applyFont="1">
      <alignment horizontal="left" shrinkToFit="0" vertical="top" wrapText="1"/>
    </xf>
    <xf borderId="11" fillId="2" fontId="3" numFmtId="0" xfId="0" applyAlignment="1" applyBorder="1" applyFont="1">
      <alignment horizontal="left" shrinkToFit="0" vertical="top" wrapText="1"/>
    </xf>
    <xf borderId="12" fillId="0" fontId="2" numFmtId="0" xfId="0" applyBorder="1" applyFont="1"/>
    <xf borderId="13" fillId="2" fontId="3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shrinkToFit="0" vertical="top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top" wrapText="1"/>
    </xf>
    <xf borderId="17" fillId="0" fontId="6" numFmtId="0" xfId="0" applyAlignment="1" applyBorder="1" applyFont="1">
      <alignment horizontal="left" shrinkToFit="0" vertical="center" wrapText="1"/>
    </xf>
    <xf borderId="18" fillId="0" fontId="6" numFmtId="0" xfId="0" applyAlignment="1" applyBorder="1" applyFont="1">
      <alignment horizontal="center" shrinkToFit="0" vertical="bottom" wrapText="1"/>
    </xf>
    <xf borderId="19" fillId="0" fontId="3" numFmtId="0" xfId="0" applyAlignment="1" applyBorder="1" applyFont="1">
      <alignment horizontal="left" shrinkToFit="0" vertical="top" wrapText="1"/>
    </xf>
    <xf borderId="17" fillId="0" fontId="7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left" shrinkToFit="0" vertical="top" wrapText="1"/>
    </xf>
    <xf borderId="17" fillId="2" fontId="3" numFmtId="0" xfId="0" applyAlignment="1" applyBorder="1" applyFont="1">
      <alignment horizontal="left" shrinkToFit="0" vertical="top" wrapText="1"/>
    </xf>
    <xf borderId="20" fillId="0" fontId="2" numFmtId="0" xfId="0" applyBorder="1" applyFont="1"/>
    <xf borderId="17" fillId="0" fontId="8" numFmtId="0" xfId="0" applyAlignment="1" applyBorder="1" applyFont="1">
      <alignment horizontal="left" shrinkToFit="0" vertical="top" wrapText="1"/>
    </xf>
    <xf borderId="17" fillId="0" fontId="9" numFmtId="3" xfId="0" applyAlignment="1" applyBorder="1" applyFont="1" applyNumberFormat="1">
      <alignment horizontal="center" shrinkToFit="0" vertical="center" wrapText="1"/>
    </xf>
    <xf borderId="17" fillId="0" fontId="9" numFmtId="1" xfId="0" applyAlignment="1" applyBorder="1" applyFont="1" applyNumberFormat="1">
      <alignment horizontal="center" shrinkToFit="0" vertical="center" wrapText="1"/>
    </xf>
    <xf borderId="17" fillId="3" fontId="5" numFmtId="3" xfId="0" applyAlignment="1" applyBorder="1" applyFill="1" applyFont="1" applyNumberForma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top" wrapText="1"/>
    </xf>
    <xf borderId="0" fillId="0" fontId="3" numFmtId="3" xfId="0" applyAlignment="1" applyFont="1" applyNumberFormat="1">
      <alignment horizontal="left" shrinkToFit="0" vertical="top" wrapText="0"/>
    </xf>
    <xf borderId="17" fillId="0" fontId="3" numFmtId="0" xfId="0" applyAlignment="1" applyBorder="1" applyFont="1">
      <alignment horizontal="center" shrinkToFit="0" vertical="top" wrapText="1"/>
    </xf>
    <xf borderId="17" fillId="3" fontId="9" numFmtId="3" xfId="0" applyAlignment="1" applyBorder="1" applyFont="1" applyNumberFormat="1">
      <alignment horizontal="center" shrinkToFit="0" vertical="center" wrapText="1"/>
    </xf>
    <xf borderId="21" fillId="0" fontId="6" numFmtId="0" xfId="0" applyAlignment="1" applyBorder="1" applyFont="1">
      <alignment horizontal="left" shrinkToFit="0" vertical="top" wrapText="1"/>
    </xf>
    <xf borderId="21" fillId="3" fontId="9" numFmtId="3" xfId="0" applyAlignment="1" applyBorder="1" applyFont="1" applyNumberForma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top" wrapText="1"/>
    </xf>
    <xf borderId="22" fillId="0" fontId="9" numFmtId="1" xfId="0" applyAlignment="1" applyBorder="1" applyFont="1" applyNumberFormat="1">
      <alignment horizontal="center" shrinkToFit="0" vertical="center" wrapText="1"/>
    </xf>
    <xf borderId="22" fillId="0" fontId="9" numFmtId="3" xfId="0" applyAlignment="1" applyBorder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left" shrinkToFit="0" vertical="top" wrapText="0"/>
    </xf>
    <xf borderId="17" fillId="0" fontId="6" numFmtId="0" xfId="0" applyAlignment="1" applyBorder="1" applyFont="1">
      <alignment horizontal="left" shrinkToFit="0" vertical="top" wrapText="1"/>
    </xf>
    <xf borderId="23" fillId="0" fontId="3" numFmtId="0" xfId="0" applyAlignment="1" applyBorder="1" applyFont="1">
      <alignment horizontal="left" shrinkToFit="0" vertical="top" wrapText="1"/>
    </xf>
    <xf borderId="23" fillId="0" fontId="3" numFmtId="0" xfId="0" applyAlignment="1" applyBorder="1" applyFont="1">
      <alignment horizontal="center" shrinkToFit="0" vertical="center" wrapText="1"/>
    </xf>
    <xf borderId="13" fillId="4" fontId="3" numFmtId="0" xfId="0" applyAlignment="1" applyBorder="1" applyFill="1" applyFont="1">
      <alignment horizontal="left" shrinkToFit="0" vertical="top" wrapText="1"/>
    </xf>
    <xf borderId="13" fillId="4" fontId="3" numFmtId="0" xfId="0" applyAlignment="1" applyBorder="1" applyFont="1">
      <alignment horizontal="center" shrinkToFit="0" vertical="center" wrapText="1"/>
    </xf>
    <xf borderId="17" fillId="3" fontId="9" numFmtId="1" xfId="0" applyAlignment="1" applyBorder="1" applyFont="1" applyNumberFormat="1">
      <alignment horizontal="center" shrinkToFit="0" vertical="center" wrapText="1"/>
    </xf>
    <xf borderId="13" fillId="4" fontId="3" numFmtId="0" xfId="0" applyAlignment="1" applyBorder="1" applyFont="1">
      <alignment horizontal="center" shrinkToFit="0" vertical="top" wrapText="1"/>
    </xf>
    <xf borderId="10" fillId="4" fontId="3" numFmtId="0" xfId="0" applyAlignment="1" applyBorder="1" applyFont="1">
      <alignment horizontal="center" shrinkToFit="0" vertical="top" wrapText="1"/>
    </xf>
    <xf borderId="18" fillId="0" fontId="8" numFmtId="0" xfId="0" applyAlignment="1" applyBorder="1" applyFont="1">
      <alignment horizontal="left" shrinkToFit="0" vertical="center" wrapText="1"/>
    </xf>
    <xf borderId="17" fillId="0" fontId="9" numFmtId="164" xfId="0" applyAlignment="1" applyBorder="1" applyFont="1" applyNumberFormat="1">
      <alignment horizontal="center" shrinkToFit="0" vertical="top" wrapText="1"/>
    </xf>
    <xf borderId="17" fillId="0" fontId="9" numFmtId="165" xfId="0" applyAlignment="1" applyBorder="1" applyFont="1" applyNumberFormat="1">
      <alignment horizontal="center" shrinkToFit="0" vertical="top" wrapText="1"/>
    </xf>
    <xf borderId="24" fillId="4" fontId="3" numFmtId="0" xfId="0" applyAlignment="1" applyBorder="1" applyFont="1">
      <alignment horizontal="center" shrinkToFit="0" vertical="top" wrapText="1"/>
    </xf>
    <xf borderId="10" fillId="4" fontId="3" numFmtId="0" xfId="0" applyAlignment="1" applyBorder="1" applyFont="1">
      <alignment horizontal="left" shrinkToFit="0" vertical="top" wrapText="1"/>
    </xf>
    <xf borderId="25" fillId="4" fontId="3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10" numFmtId="0" xfId="0" applyFont="1"/>
    <xf borderId="0" fillId="0" fontId="3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1"/>
    </xf>
    <xf borderId="0" fillId="0" fontId="3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11" width="10.71"/>
    <col customWidth="1" min="12" max="16" width="9.14"/>
    <col customWidth="1" min="17" max="26" width="8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.75" customHeight="1">
      <c r="A4" s="5"/>
      <c r="B4" s="2"/>
      <c r="C4" s="2"/>
      <c r="D4" s="3"/>
      <c r="E4" s="6"/>
      <c r="F4" s="6"/>
      <c r="G4" s="5"/>
      <c r="H4" s="2"/>
      <c r="I4" s="2"/>
      <c r="J4" s="3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.5" customHeight="1">
      <c r="A5" s="7" t="s">
        <v>2</v>
      </c>
      <c r="B5" s="2"/>
      <c r="C5" s="2"/>
      <c r="D5" s="3"/>
      <c r="E5" s="8">
        <v>410699.85</v>
      </c>
      <c r="F5" s="6"/>
      <c r="G5" s="5"/>
      <c r="H5" s="2"/>
      <c r="I5" s="2"/>
      <c r="J5" s="3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0.5" customHeight="1">
      <c r="A6" s="9" t="s">
        <v>3</v>
      </c>
      <c r="B6" s="10"/>
      <c r="C6" s="10"/>
      <c r="D6" s="11"/>
      <c r="E6" s="12">
        <v>113314.23</v>
      </c>
      <c r="F6" s="13"/>
      <c r="G6" s="14"/>
      <c r="H6" s="10"/>
      <c r="I6" s="10"/>
      <c r="J6" s="11"/>
      <c r="K6" s="1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.5" customHeight="1">
      <c r="A7" s="16"/>
      <c r="B7" s="17"/>
      <c r="C7" s="18"/>
      <c r="D7" s="19"/>
      <c r="E7" s="19"/>
      <c r="F7" s="19"/>
      <c r="G7" s="19"/>
      <c r="H7" s="19"/>
      <c r="I7" s="19"/>
      <c r="J7" s="19"/>
      <c r="K7" s="1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20"/>
      <c r="B8" s="21" t="s">
        <v>4</v>
      </c>
      <c r="C8" s="22"/>
      <c r="D8" s="21" t="s">
        <v>5</v>
      </c>
      <c r="E8" s="22"/>
      <c r="F8" s="23" t="s">
        <v>6</v>
      </c>
      <c r="G8" s="24" t="s">
        <v>7</v>
      </c>
      <c r="H8" s="23" t="s">
        <v>8</v>
      </c>
      <c r="I8" s="23" t="s">
        <v>9</v>
      </c>
      <c r="J8" s="25" t="s">
        <v>10</v>
      </c>
      <c r="K8" s="26" t="s">
        <v>11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7"/>
      <c r="B9" s="28" t="s">
        <v>12</v>
      </c>
      <c r="C9" s="29" t="s">
        <v>13</v>
      </c>
      <c r="D9" s="28" t="s">
        <v>14</v>
      </c>
      <c r="E9" s="29" t="s">
        <v>15</v>
      </c>
      <c r="F9" s="30"/>
      <c r="G9" s="30"/>
      <c r="H9" s="30"/>
      <c r="I9" s="30"/>
      <c r="J9" s="30"/>
      <c r="K9" s="3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32" t="s">
        <v>16</v>
      </c>
      <c r="B10" s="33">
        <v>4457.0</v>
      </c>
      <c r="C10" s="34">
        <v>1021.0</v>
      </c>
      <c r="D10" s="33">
        <v>3003.0</v>
      </c>
      <c r="E10" s="34">
        <v>796.0</v>
      </c>
      <c r="F10" s="33">
        <v>1072.0</v>
      </c>
      <c r="G10" s="34">
        <v>223.0</v>
      </c>
      <c r="H10" s="34">
        <v>153.0</v>
      </c>
      <c r="I10" s="34">
        <v>170.0</v>
      </c>
      <c r="J10" s="34">
        <v>126.0</v>
      </c>
      <c r="K10" s="35">
        <f t="shared" ref="K10:K29" si="1">SUM(B10:J10)</f>
        <v>11021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32" t="s">
        <v>17</v>
      </c>
      <c r="B11" s="33">
        <v>1669.0</v>
      </c>
      <c r="C11" s="34">
        <v>924.0</v>
      </c>
      <c r="D11" s="34">
        <v>544.0</v>
      </c>
      <c r="E11" s="33">
        <v>574.0</v>
      </c>
      <c r="F11" s="34">
        <v>28.0</v>
      </c>
      <c r="G11" s="34">
        <v>11.0</v>
      </c>
      <c r="H11" s="34">
        <v>19.0</v>
      </c>
      <c r="I11" s="34">
        <v>112.0</v>
      </c>
      <c r="J11" s="34">
        <v>4.0</v>
      </c>
      <c r="K11" s="35">
        <f t="shared" si="1"/>
        <v>3885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36" t="s">
        <v>18</v>
      </c>
      <c r="B12" s="33">
        <v>35870.0</v>
      </c>
      <c r="C12" s="33">
        <v>2438.0</v>
      </c>
      <c r="D12" s="33">
        <v>15308.0</v>
      </c>
      <c r="E12" s="33">
        <v>12695.0</v>
      </c>
      <c r="F12" s="34">
        <v>350.0</v>
      </c>
      <c r="G12" s="34">
        <v>771.0</v>
      </c>
      <c r="H12" s="34">
        <v>244.0</v>
      </c>
      <c r="I12" s="34">
        <v>462.0</v>
      </c>
      <c r="J12" s="34">
        <v>307.0</v>
      </c>
      <c r="K12" s="35">
        <f t="shared" si="1"/>
        <v>68445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32" t="s">
        <v>19</v>
      </c>
      <c r="B13" s="33">
        <v>15830.0</v>
      </c>
      <c r="C13" s="33">
        <v>2271.0</v>
      </c>
      <c r="D13" s="33">
        <v>11907.0</v>
      </c>
      <c r="E13" s="33">
        <v>4729.0</v>
      </c>
      <c r="F13" s="34">
        <v>745.0</v>
      </c>
      <c r="G13" s="33">
        <v>2435.0</v>
      </c>
      <c r="H13" s="34">
        <v>249.0</v>
      </c>
      <c r="I13" s="34">
        <v>721.0</v>
      </c>
      <c r="J13" s="34">
        <v>345.0</v>
      </c>
      <c r="K13" s="35">
        <f t="shared" si="1"/>
        <v>39232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0.25" customHeight="1">
      <c r="A14" s="36" t="s">
        <v>20</v>
      </c>
      <c r="B14" s="33">
        <v>4214.0</v>
      </c>
      <c r="C14" s="34">
        <v>21.0</v>
      </c>
      <c r="D14" s="33">
        <v>1940.0</v>
      </c>
      <c r="E14" s="34">
        <v>66.0</v>
      </c>
      <c r="F14" s="34">
        <v>8.0</v>
      </c>
      <c r="G14" s="34">
        <v>129.0</v>
      </c>
      <c r="H14" s="34">
        <v>6.0</v>
      </c>
      <c r="I14" s="34">
        <v>36.0</v>
      </c>
      <c r="J14" s="34">
        <v>6.0</v>
      </c>
      <c r="K14" s="35">
        <f t="shared" si="1"/>
        <v>6426</v>
      </c>
      <c r="L14" s="4"/>
      <c r="M14" s="4"/>
      <c r="N14" s="37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36" t="s">
        <v>21</v>
      </c>
      <c r="B15" s="33">
        <v>7078.0</v>
      </c>
      <c r="C15" s="33">
        <v>2011.0</v>
      </c>
      <c r="D15" s="33">
        <v>2589.0</v>
      </c>
      <c r="E15" s="33">
        <v>3637.0</v>
      </c>
      <c r="F15" s="34">
        <v>194.0</v>
      </c>
      <c r="G15" s="34">
        <v>104.0</v>
      </c>
      <c r="H15" s="34">
        <v>11.0</v>
      </c>
      <c r="I15" s="34">
        <v>84.0</v>
      </c>
      <c r="J15" s="34">
        <v>194.0</v>
      </c>
      <c r="K15" s="35">
        <f t="shared" si="1"/>
        <v>15902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32" t="s">
        <v>22</v>
      </c>
      <c r="B16" s="33">
        <v>14199.0</v>
      </c>
      <c r="C16" s="33">
        <v>13948.0</v>
      </c>
      <c r="D16" s="33">
        <v>1630.0</v>
      </c>
      <c r="E16" s="33">
        <v>2086.0</v>
      </c>
      <c r="F16" s="34">
        <v>19.0</v>
      </c>
      <c r="G16" s="34">
        <v>5.0</v>
      </c>
      <c r="H16" s="34">
        <v>0.0</v>
      </c>
      <c r="I16" s="34">
        <v>5.0</v>
      </c>
      <c r="J16" s="34">
        <v>0.0</v>
      </c>
      <c r="K16" s="35">
        <f t="shared" si="1"/>
        <v>31892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38" t="s">
        <v>23</v>
      </c>
      <c r="B17" s="33">
        <v>5544.0</v>
      </c>
      <c r="C17" s="34">
        <v>705.0</v>
      </c>
      <c r="D17" s="33">
        <v>4417.0</v>
      </c>
      <c r="E17" s="33">
        <v>1377.0</v>
      </c>
      <c r="F17" s="34">
        <v>86.0</v>
      </c>
      <c r="G17" s="34">
        <v>64.0</v>
      </c>
      <c r="H17" s="34">
        <v>53.0</v>
      </c>
      <c r="I17" s="34">
        <v>38.0</v>
      </c>
      <c r="J17" s="34">
        <v>186.0</v>
      </c>
      <c r="K17" s="35">
        <f t="shared" si="1"/>
        <v>12470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24" t="s">
        <v>24</v>
      </c>
      <c r="B18" s="39">
        <f t="shared" ref="B18:J18" si="2">SUM(B12:B17)</f>
        <v>82735</v>
      </c>
      <c r="C18" s="39">
        <f t="shared" si="2"/>
        <v>21394</v>
      </c>
      <c r="D18" s="39">
        <f t="shared" si="2"/>
        <v>37791</v>
      </c>
      <c r="E18" s="39">
        <f t="shared" si="2"/>
        <v>24590</v>
      </c>
      <c r="F18" s="39">
        <f t="shared" si="2"/>
        <v>1402</v>
      </c>
      <c r="G18" s="39">
        <f t="shared" si="2"/>
        <v>3508</v>
      </c>
      <c r="H18" s="39">
        <f t="shared" si="2"/>
        <v>563</v>
      </c>
      <c r="I18" s="39">
        <f t="shared" si="2"/>
        <v>1346</v>
      </c>
      <c r="J18" s="39">
        <f t="shared" si="2"/>
        <v>1038</v>
      </c>
      <c r="K18" s="35">
        <f t="shared" si="1"/>
        <v>174367</v>
      </c>
      <c r="L18" s="3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36" t="s">
        <v>25</v>
      </c>
      <c r="B19" s="33">
        <v>42058.0</v>
      </c>
      <c r="C19" s="33">
        <v>18565.0</v>
      </c>
      <c r="D19" s="33">
        <v>23645.0</v>
      </c>
      <c r="E19" s="33">
        <v>17879.0</v>
      </c>
      <c r="F19" s="34">
        <v>822.0</v>
      </c>
      <c r="G19" s="33">
        <v>2443.0</v>
      </c>
      <c r="H19" s="34">
        <v>320.0</v>
      </c>
      <c r="I19" s="34">
        <v>924.0</v>
      </c>
      <c r="J19" s="34">
        <v>560.0</v>
      </c>
      <c r="K19" s="35">
        <f t="shared" si="1"/>
        <v>107216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32" t="s">
        <v>26</v>
      </c>
      <c r="B20" s="33">
        <v>23613.0</v>
      </c>
      <c r="C20" s="34">
        <v>604.0</v>
      </c>
      <c r="D20" s="33">
        <v>2518.0</v>
      </c>
      <c r="E20" s="34">
        <v>138.0</v>
      </c>
      <c r="F20" s="34">
        <v>59.0</v>
      </c>
      <c r="G20" s="34">
        <v>56.0</v>
      </c>
      <c r="H20" s="34">
        <v>29.0</v>
      </c>
      <c r="I20" s="34">
        <v>35.0</v>
      </c>
      <c r="J20" s="34">
        <v>38.0</v>
      </c>
      <c r="K20" s="35">
        <f t="shared" si="1"/>
        <v>27090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0.25" customHeight="1">
      <c r="A21" s="36" t="s">
        <v>27</v>
      </c>
      <c r="B21" s="33">
        <v>6148.0</v>
      </c>
      <c r="C21" s="33">
        <v>1259.0</v>
      </c>
      <c r="D21" s="33">
        <v>1948.0</v>
      </c>
      <c r="E21" s="33">
        <v>2369.0</v>
      </c>
      <c r="F21" s="34">
        <v>291.0</v>
      </c>
      <c r="G21" s="34">
        <v>539.0</v>
      </c>
      <c r="H21" s="34">
        <v>121.0</v>
      </c>
      <c r="I21" s="34">
        <v>179.0</v>
      </c>
      <c r="J21" s="34">
        <v>226.0</v>
      </c>
      <c r="K21" s="35">
        <f t="shared" si="1"/>
        <v>13080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36" t="s">
        <v>28</v>
      </c>
      <c r="B22" s="34">
        <v>191.0</v>
      </c>
      <c r="C22" s="34">
        <v>41.0</v>
      </c>
      <c r="D22" s="34">
        <v>28.0</v>
      </c>
      <c r="E22" s="34">
        <v>1.0</v>
      </c>
      <c r="F22" s="34">
        <v>0.0</v>
      </c>
      <c r="G22" s="34">
        <v>5.0</v>
      </c>
      <c r="H22" s="34">
        <v>0.0</v>
      </c>
      <c r="I22" s="34">
        <v>0.0</v>
      </c>
      <c r="J22" s="34">
        <v>0.0</v>
      </c>
      <c r="K22" s="35">
        <f t="shared" si="1"/>
        <v>266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0.25" customHeight="1">
      <c r="A23" s="32" t="s">
        <v>29</v>
      </c>
      <c r="B23" s="34">
        <v>409.0</v>
      </c>
      <c r="C23" s="34">
        <v>565.0</v>
      </c>
      <c r="D23" s="33">
        <v>4842.0</v>
      </c>
      <c r="E23" s="34">
        <v>589.0</v>
      </c>
      <c r="F23" s="34">
        <v>13.0</v>
      </c>
      <c r="G23" s="34">
        <v>5.0</v>
      </c>
      <c r="H23" s="34">
        <v>9.0</v>
      </c>
      <c r="I23" s="34">
        <v>3.0</v>
      </c>
      <c r="J23" s="34">
        <v>9.0</v>
      </c>
      <c r="K23" s="35">
        <f t="shared" si="1"/>
        <v>6444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0" t="s">
        <v>30</v>
      </c>
      <c r="B24" s="41">
        <f t="shared" ref="B24:J24" si="3">SUM(B19:B23)</f>
        <v>72419</v>
      </c>
      <c r="C24" s="41">
        <f t="shared" si="3"/>
        <v>21034</v>
      </c>
      <c r="D24" s="41">
        <f t="shared" si="3"/>
        <v>32981</v>
      </c>
      <c r="E24" s="41">
        <f t="shared" si="3"/>
        <v>20976</v>
      </c>
      <c r="F24" s="41">
        <f t="shared" si="3"/>
        <v>1185</v>
      </c>
      <c r="G24" s="41">
        <f t="shared" si="3"/>
        <v>3048</v>
      </c>
      <c r="H24" s="41">
        <f t="shared" si="3"/>
        <v>479</v>
      </c>
      <c r="I24" s="41">
        <f t="shared" si="3"/>
        <v>1141</v>
      </c>
      <c r="J24" s="41">
        <f t="shared" si="3"/>
        <v>833</v>
      </c>
      <c r="K24" s="35">
        <f t="shared" si="1"/>
        <v>154096</v>
      </c>
      <c r="L24" s="4"/>
      <c r="M24" s="4"/>
      <c r="N24" s="4"/>
      <c r="O24" s="37"/>
      <c r="P24" s="37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2" t="s">
        <v>31</v>
      </c>
      <c r="B25" s="43">
        <v>273.0</v>
      </c>
      <c r="C25" s="43">
        <v>361.0</v>
      </c>
      <c r="D25" s="43">
        <v>380.0</v>
      </c>
      <c r="E25" s="44">
        <v>1189.0</v>
      </c>
      <c r="F25" s="43">
        <v>138.0</v>
      </c>
      <c r="G25" s="43">
        <v>58.0</v>
      </c>
      <c r="H25" s="43">
        <v>9.0</v>
      </c>
      <c r="I25" s="43">
        <v>37.0</v>
      </c>
      <c r="J25" s="43">
        <v>48.0</v>
      </c>
      <c r="K25" s="35">
        <f t="shared" si="1"/>
        <v>2493</v>
      </c>
      <c r="L25" s="4"/>
      <c r="M25" s="4"/>
      <c r="N25" s="4"/>
      <c r="O25" s="45"/>
      <c r="P25" s="45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36" t="s">
        <v>32</v>
      </c>
      <c r="B26" s="34">
        <v>26.0</v>
      </c>
      <c r="C26" s="34">
        <v>10.0</v>
      </c>
      <c r="D26" s="34">
        <v>35.0</v>
      </c>
      <c r="E26" s="34">
        <v>12.0</v>
      </c>
      <c r="F26" s="34">
        <v>11.0</v>
      </c>
      <c r="G26" s="34">
        <v>2.0</v>
      </c>
      <c r="H26" s="34">
        <v>1.0</v>
      </c>
      <c r="I26" s="34">
        <v>1.0</v>
      </c>
      <c r="J26" s="34">
        <v>0.0</v>
      </c>
      <c r="K26" s="35">
        <f t="shared" si="1"/>
        <v>98</v>
      </c>
      <c r="L26" s="4"/>
      <c r="M26" s="4"/>
      <c r="N26" s="4"/>
      <c r="O26" s="37"/>
      <c r="P26" s="37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36" t="s">
        <v>33</v>
      </c>
      <c r="B27" s="33">
        <v>5420.0</v>
      </c>
      <c r="C27" s="34">
        <v>240.0</v>
      </c>
      <c r="D27" s="33">
        <v>4703.0</v>
      </c>
      <c r="E27" s="33">
        <v>1797.0</v>
      </c>
      <c r="F27" s="34">
        <v>210.0</v>
      </c>
      <c r="G27" s="34">
        <v>334.0</v>
      </c>
      <c r="H27" s="34">
        <v>6.0</v>
      </c>
      <c r="I27" s="34">
        <v>97.0</v>
      </c>
      <c r="J27" s="34">
        <v>126.0</v>
      </c>
      <c r="K27" s="35">
        <f t="shared" si="1"/>
        <v>12933</v>
      </c>
      <c r="L27" s="4"/>
      <c r="M27" s="4"/>
      <c r="N27" s="4"/>
      <c r="O27" s="45"/>
      <c r="P27" s="45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32" t="s">
        <v>34</v>
      </c>
      <c r="B28" s="33">
        <v>4200.0</v>
      </c>
      <c r="C28" s="34">
        <v>25.0</v>
      </c>
      <c r="D28" s="33">
        <v>1948.0</v>
      </c>
      <c r="E28" s="34">
        <v>66.0</v>
      </c>
      <c r="F28" s="34">
        <v>7.0</v>
      </c>
      <c r="G28" s="34">
        <v>130.0</v>
      </c>
      <c r="H28" s="34">
        <v>6.0</v>
      </c>
      <c r="I28" s="34">
        <v>36.0</v>
      </c>
      <c r="J28" s="34">
        <v>5.0</v>
      </c>
      <c r="K28" s="35">
        <f t="shared" si="1"/>
        <v>6423</v>
      </c>
      <c r="L28" s="4"/>
      <c r="M28" s="4"/>
      <c r="N28" s="4"/>
      <c r="O28" s="37"/>
      <c r="P28" s="37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6" t="s">
        <v>35</v>
      </c>
      <c r="B29" s="39">
        <f t="shared" ref="B29:J29" si="4">SUM(B25:B28)</f>
        <v>9919</v>
      </c>
      <c r="C29" s="39">
        <f t="shared" si="4"/>
        <v>636</v>
      </c>
      <c r="D29" s="39">
        <f t="shared" si="4"/>
        <v>7066</v>
      </c>
      <c r="E29" s="39">
        <f t="shared" si="4"/>
        <v>3064</v>
      </c>
      <c r="F29" s="39">
        <f t="shared" si="4"/>
        <v>366</v>
      </c>
      <c r="G29" s="39">
        <f t="shared" si="4"/>
        <v>524</v>
      </c>
      <c r="H29" s="39">
        <f t="shared" si="4"/>
        <v>22</v>
      </c>
      <c r="I29" s="39">
        <f t="shared" si="4"/>
        <v>171</v>
      </c>
      <c r="J29" s="39">
        <f t="shared" si="4"/>
        <v>179</v>
      </c>
      <c r="K29" s="35">
        <f t="shared" si="1"/>
        <v>21947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7"/>
      <c r="B30" s="48"/>
      <c r="C30" s="48"/>
      <c r="D30" s="48"/>
      <c r="E30" s="48"/>
      <c r="F30" s="48"/>
      <c r="G30" s="48"/>
      <c r="H30" s="48"/>
      <c r="I30" s="48"/>
      <c r="J30" s="48"/>
      <c r="K30" s="3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24" t="s">
        <v>36</v>
      </c>
      <c r="B31" s="39">
        <f t="shared" ref="B31:J31" si="5">SUM(B24+B29)</f>
        <v>82338</v>
      </c>
      <c r="C31" s="39">
        <f t="shared" si="5"/>
        <v>21670</v>
      </c>
      <c r="D31" s="39">
        <f t="shared" si="5"/>
        <v>40047</v>
      </c>
      <c r="E31" s="39">
        <f t="shared" si="5"/>
        <v>24040</v>
      </c>
      <c r="F31" s="39">
        <f t="shared" si="5"/>
        <v>1551</v>
      </c>
      <c r="G31" s="39">
        <f t="shared" si="5"/>
        <v>3572</v>
      </c>
      <c r="H31" s="39">
        <f t="shared" si="5"/>
        <v>501</v>
      </c>
      <c r="I31" s="39">
        <f t="shared" si="5"/>
        <v>1312</v>
      </c>
      <c r="J31" s="39">
        <f t="shared" si="5"/>
        <v>1012</v>
      </c>
      <c r="K31" s="35">
        <f>SUM(B31:J31)</f>
        <v>176043</v>
      </c>
      <c r="L31" s="37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9"/>
      <c r="B32" s="50"/>
      <c r="C32" s="50"/>
      <c r="D32" s="50"/>
      <c r="E32" s="50"/>
      <c r="F32" s="50"/>
      <c r="G32" s="50"/>
      <c r="H32" s="50"/>
      <c r="I32" s="50"/>
      <c r="J32" s="50"/>
      <c r="K32" s="35"/>
      <c r="L32" s="37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32" t="s">
        <v>37</v>
      </c>
      <c r="B33" s="39">
        <v>4921.0</v>
      </c>
      <c r="C33" s="51">
        <v>758.0</v>
      </c>
      <c r="D33" s="39">
        <v>2802.0</v>
      </c>
      <c r="E33" s="51">
        <v>885.0</v>
      </c>
      <c r="F33" s="51">
        <v>900.0</v>
      </c>
      <c r="G33" s="51">
        <v>141.0</v>
      </c>
      <c r="H33" s="51">
        <v>222.0</v>
      </c>
      <c r="I33" s="51">
        <v>169.0</v>
      </c>
      <c r="J33" s="51">
        <v>166.0</v>
      </c>
      <c r="K33" s="35">
        <f t="shared" ref="K33:K34" si="6">SUM(B33:J33)</f>
        <v>10964</v>
      </c>
      <c r="L33" s="37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32" t="s">
        <v>38</v>
      </c>
      <c r="B34" s="39">
        <v>2035.0</v>
      </c>
      <c r="C34" s="51">
        <v>1011.0</v>
      </c>
      <c r="D34" s="51">
        <v>486.0</v>
      </c>
      <c r="E34" s="51">
        <v>587.0</v>
      </c>
      <c r="F34" s="51">
        <v>49.0</v>
      </c>
      <c r="G34" s="51">
        <v>3.0</v>
      </c>
      <c r="H34" s="51">
        <v>12.0</v>
      </c>
      <c r="I34" s="51">
        <v>107.0</v>
      </c>
      <c r="J34" s="51">
        <v>4.0</v>
      </c>
      <c r="K34" s="35">
        <f t="shared" si="6"/>
        <v>4294</v>
      </c>
      <c r="L34" s="3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9"/>
      <c r="B35" s="52"/>
      <c r="C35" s="52"/>
      <c r="D35" s="52"/>
      <c r="E35" s="52"/>
      <c r="F35" s="52"/>
      <c r="G35" s="52"/>
      <c r="H35" s="52"/>
      <c r="I35" s="52"/>
      <c r="J35" s="52"/>
      <c r="K35" s="5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54" t="s">
        <v>39</v>
      </c>
      <c r="B36" s="55">
        <v>48.579</v>
      </c>
      <c r="C36" s="55">
        <v>26.17</v>
      </c>
      <c r="D36" s="55">
        <v>60.033</v>
      </c>
      <c r="E36" s="56">
        <v>32.0726</v>
      </c>
      <c r="F36" s="55">
        <v>45.753</v>
      </c>
      <c r="G36" s="55">
        <v>21.307</v>
      </c>
      <c r="H36" s="55">
        <v>46.448</v>
      </c>
      <c r="I36" s="55">
        <v>20.588</v>
      </c>
      <c r="J36" s="55">
        <v>61.174</v>
      </c>
      <c r="K36" s="5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31"/>
      <c r="B37" s="36" t="s">
        <v>40</v>
      </c>
      <c r="C37" s="36" t="s">
        <v>41</v>
      </c>
      <c r="D37" s="36" t="s">
        <v>42</v>
      </c>
      <c r="E37" s="36" t="s">
        <v>43</v>
      </c>
      <c r="F37" s="36" t="s">
        <v>44</v>
      </c>
      <c r="G37" s="36" t="s">
        <v>45</v>
      </c>
      <c r="H37" s="36" t="s">
        <v>46</v>
      </c>
      <c r="I37" s="36" t="s">
        <v>47</v>
      </c>
      <c r="J37" s="36" t="s">
        <v>48</v>
      </c>
      <c r="K37" s="5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9.75" customHeight="1">
      <c r="A38" s="58"/>
      <c r="B38" s="53"/>
      <c r="C38" s="53"/>
      <c r="D38" s="53"/>
      <c r="E38" s="53"/>
      <c r="F38" s="53"/>
      <c r="G38" s="53"/>
      <c r="H38" s="53"/>
      <c r="I38" s="53"/>
      <c r="J38" s="53"/>
      <c r="K38" s="59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6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6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6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6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6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6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6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6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6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6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6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6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6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6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6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6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6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6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6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6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6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6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6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6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6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6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6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6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6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6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6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6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6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6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6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6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6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6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6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6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6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6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6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6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6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6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6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6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6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6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6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6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6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6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6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6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6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6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6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6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6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6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6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6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6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6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6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6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6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6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6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6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6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6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6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6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6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6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6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6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6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6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6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6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6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6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6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6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6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6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6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6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6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6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6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6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6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6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6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6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6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6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6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6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6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6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6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6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6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6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6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6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6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6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6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6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6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6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6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6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6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6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6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6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6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6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6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6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6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6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6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6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6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6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6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6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6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6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6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6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6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6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6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6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6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6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6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6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6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6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6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6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6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6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6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6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6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6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6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6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6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6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6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6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6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6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6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6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6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6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6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6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6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6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6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6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6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6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6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6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6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6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6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6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6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6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6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6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6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6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6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6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6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6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6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6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6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6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6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6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6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6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6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6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6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6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6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6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6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6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6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6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6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6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6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6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6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6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6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6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6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6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6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6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6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6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6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6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6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6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6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6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6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6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6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6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6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6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6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6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6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6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6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6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6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6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6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6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6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6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6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6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6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6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6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6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6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6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6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6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6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6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6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6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6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6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6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6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6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6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6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6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6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6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6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6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6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6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6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6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6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6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6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6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6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6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6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6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6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6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6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6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6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6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6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6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6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6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6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6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6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6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6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6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6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6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6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6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6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6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6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6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6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6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6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6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6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6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6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6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6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6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6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6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6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6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6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6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6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6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6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6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6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6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6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6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6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6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6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6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6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6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6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6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6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6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6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6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6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6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6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6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6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6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6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6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6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6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6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6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6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6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6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6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6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6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6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6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6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6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6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6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6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6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6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6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6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6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6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6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6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6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6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6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6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6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6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6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6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6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6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6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6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6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6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6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6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6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6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6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6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6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6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6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6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6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6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6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6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6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6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6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6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6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6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6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6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6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6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6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6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6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6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6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6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6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6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6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6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6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6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6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6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6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6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6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6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6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6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6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6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6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6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6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6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6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6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6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6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6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6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6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6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6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6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6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6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6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6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6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6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6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6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6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6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6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6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6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6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6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6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6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6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6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6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6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6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6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6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6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6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6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6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6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6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6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6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6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6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6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6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6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6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6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6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6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6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6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6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6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6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6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6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6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6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6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6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6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6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6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6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6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6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6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6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6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6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6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6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6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6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6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6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6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6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6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6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6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6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6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6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6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6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6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6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6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6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6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6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6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6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6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6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6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6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6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6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6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6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6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6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6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6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6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6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6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6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6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6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6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6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6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6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6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6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6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6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6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6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6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6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6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6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6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6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6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6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6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6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6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6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6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6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6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6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6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6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6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6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6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6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6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6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6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6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6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6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6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6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6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6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6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6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6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6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6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6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6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6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6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6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6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6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6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6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6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6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6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6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6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6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6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6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6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6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6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6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6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6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6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6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6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6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6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6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6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6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6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6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6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6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6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6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6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6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6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6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6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6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6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6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6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6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6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6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6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6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6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6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6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6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6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6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6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6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6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6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6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6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6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6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6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6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6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6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6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6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6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6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6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6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6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6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6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6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6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6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6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6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6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6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6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6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6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6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6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6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6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6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6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6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6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6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6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6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6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6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6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6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6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6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6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6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6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6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6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6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6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6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6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6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6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6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6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6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6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6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6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6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6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6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6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6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6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6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6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6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6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6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6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6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6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6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6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6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6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6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6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6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6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6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6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6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6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6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6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6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6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6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6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6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6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6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6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6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6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6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6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6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6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6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6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6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6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6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6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6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6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6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6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6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6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6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6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6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6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6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6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6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6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6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6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6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6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6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6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6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6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6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6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6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6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6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6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6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6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6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6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6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6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6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6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6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6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6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6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6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6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6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6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6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6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6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6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6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6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6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6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6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6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6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6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6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6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6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6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6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6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6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6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6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6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6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6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6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6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6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6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6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6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6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6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6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6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6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6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6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6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6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6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6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6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6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6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6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6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6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6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6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6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6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6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6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6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6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6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6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6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6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6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6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6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6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6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6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6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6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6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6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6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6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6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6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6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6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6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6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6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6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6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6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6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6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6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6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6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6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6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6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6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6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6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6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6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6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6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6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6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6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6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6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6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6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6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6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6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6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6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6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6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6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6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6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6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6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6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6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6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60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6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60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6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60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60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60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6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6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60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6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60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60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60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60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4">
    <mergeCell ref="G5:J5"/>
    <mergeCell ref="G6:J6"/>
    <mergeCell ref="K8:K9"/>
    <mergeCell ref="B7:C7"/>
    <mergeCell ref="B8:C8"/>
    <mergeCell ref="D8:E8"/>
    <mergeCell ref="A36:A37"/>
    <mergeCell ref="A1:K1"/>
    <mergeCell ref="A2:K2"/>
    <mergeCell ref="A3:K3"/>
    <mergeCell ref="A4:D4"/>
    <mergeCell ref="G4:J4"/>
    <mergeCell ref="A5:D5"/>
    <mergeCell ref="A6:D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52.14"/>
    <col customWidth="1" min="3" max="3" width="36.86"/>
    <col customWidth="1" min="4" max="4" width="9.14"/>
    <col customWidth="1" min="5" max="5" width="28.57"/>
    <col customWidth="1" min="6" max="10" width="9.14"/>
    <col customWidth="1" min="11" max="11" width="8.0"/>
    <col customWidth="1" min="12" max="15" width="9.14"/>
    <col customWidth="1" min="16" max="16" width="8.0"/>
    <col customWidth="1" min="17" max="29" width="9.14"/>
    <col customWidth="1" min="30" max="30" width="8.0"/>
    <col customWidth="1" min="31" max="34" width="9.14"/>
    <col customWidth="1" min="35" max="35" width="8.0"/>
    <col customWidth="1" min="36" max="48" width="9.14"/>
    <col customWidth="1" min="49" max="49" width="8.0"/>
    <col customWidth="1" min="50" max="53" width="9.14"/>
    <col customWidth="1" min="54" max="54" width="8.0"/>
    <col customWidth="1" min="55" max="68" width="9.14"/>
    <col customWidth="1" min="69" max="69" width="8.0"/>
    <col customWidth="1" min="70" max="73" width="9.14"/>
    <col customWidth="1" min="74" max="82" width="8.0"/>
    <col customWidth="1" min="83" max="183" width="9.14"/>
  </cols>
  <sheetData>
    <row r="1" ht="135.0" customHeight="1">
      <c r="A1" s="61" t="s">
        <v>49</v>
      </c>
      <c r="B1" s="62" t="s">
        <v>50</v>
      </c>
      <c r="C1" s="61" t="s">
        <v>51</v>
      </c>
      <c r="D1" s="61" t="s">
        <v>52</v>
      </c>
      <c r="E1" s="61" t="s">
        <v>53</v>
      </c>
      <c r="F1" s="61" t="s">
        <v>54</v>
      </c>
      <c r="G1" s="61" t="s">
        <v>55</v>
      </c>
      <c r="H1" s="61" t="s">
        <v>56</v>
      </c>
      <c r="I1" s="61" t="s">
        <v>57</v>
      </c>
      <c r="J1" s="61" t="s">
        <v>58</v>
      </c>
      <c r="K1" s="61" t="s">
        <v>59</v>
      </c>
      <c r="L1" s="61" t="s">
        <v>60</v>
      </c>
      <c r="M1" s="61" t="s">
        <v>61</v>
      </c>
      <c r="N1" s="61" t="s">
        <v>62</v>
      </c>
      <c r="O1" s="61" t="s">
        <v>63</v>
      </c>
      <c r="P1" s="61" t="s">
        <v>64</v>
      </c>
      <c r="Q1" s="61" t="s">
        <v>65</v>
      </c>
      <c r="R1" s="61" t="s">
        <v>66</v>
      </c>
      <c r="S1" s="61" t="s">
        <v>67</v>
      </c>
      <c r="T1" s="61" t="s">
        <v>68</v>
      </c>
      <c r="U1" s="61" t="s">
        <v>69</v>
      </c>
      <c r="V1" s="61" t="s">
        <v>70</v>
      </c>
      <c r="W1" s="61" t="s">
        <v>71</v>
      </c>
      <c r="X1" s="61" t="s">
        <v>72</v>
      </c>
      <c r="Y1" s="61" t="s">
        <v>73</v>
      </c>
      <c r="Z1" s="61" t="s">
        <v>74</v>
      </c>
      <c r="AA1" s="61" t="s">
        <v>75</v>
      </c>
      <c r="AB1" s="61" t="s">
        <v>76</v>
      </c>
      <c r="AC1" s="61" t="s">
        <v>77</v>
      </c>
      <c r="AD1" s="61" t="s">
        <v>78</v>
      </c>
      <c r="AE1" s="61" t="s">
        <v>79</v>
      </c>
      <c r="AF1" s="61" t="s">
        <v>80</v>
      </c>
      <c r="AG1" s="61" t="s">
        <v>81</v>
      </c>
      <c r="AH1" s="61" t="s">
        <v>82</v>
      </c>
      <c r="AI1" s="61" t="s">
        <v>83</v>
      </c>
      <c r="AJ1" s="61" t="s">
        <v>84</v>
      </c>
      <c r="AK1" s="61" t="s">
        <v>85</v>
      </c>
      <c r="AL1" s="61" t="s">
        <v>86</v>
      </c>
      <c r="AM1" s="61" t="s">
        <v>87</v>
      </c>
      <c r="AN1" s="61" t="s">
        <v>88</v>
      </c>
      <c r="AO1" s="61" t="s">
        <v>89</v>
      </c>
      <c r="AP1" s="61" t="s">
        <v>90</v>
      </c>
      <c r="AQ1" s="61" t="s">
        <v>91</v>
      </c>
      <c r="AR1" s="61" t="s">
        <v>92</v>
      </c>
      <c r="AS1" s="61" t="s">
        <v>93</v>
      </c>
      <c r="AT1" s="61" t="s">
        <v>94</v>
      </c>
      <c r="AU1" s="61" t="s">
        <v>95</v>
      </c>
      <c r="AV1" s="61" t="s">
        <v>96</v>
      </c>
      <c r="AW1" s="61" t="s">
        <v>97</v>
      </c>
      <c r="AX1" s="61" t="s">
        <v>98</v>
      </c>
      <c r="AY1" s="61" t="s">
        <v>99</v>
      </c>
      <c r="AZ1" s="61" t="s">
        <v>100</v>
      </c>
      <c r="BA1" s="61" t="s">
        <v>101</v>
      </c>
      <c r="BB1" s="61" t="s">
        <v>102</v>
      </c>
      <c r="BC1" s="61" t="s">
        <v>103</v>
      </c>
      <c r="BD1" s="61" t="s">
        <v>104</v>
      </c>
      <c r="BE1" s="61" t="s">
        <v>105</v>
      </c>
      <c r="BF1" s="61" t="s">
        <v>106</v>
      </c>
      <c r="BG1" s="61" t="s">
        <v>107</v>
      </c>
      <c r="BH1" s="61" t="s">
        <v>108</v>
      </c>
      <c r="BI1" s="61" t="s">
        <v>109</v>
      </c>
      <c r="BJ1" s="61" t="s">
        <v>110</v>
      </c>
      <c r="BK1" s="61" t="s">
        <v>111</v>
      </c>
      <c r="BL1" s="61" t="s">
        <v>112</v>
      </c>
      <c r="BM1" s="61" t="s">
        <v>113</v>
      </c>
      <c r="BN1" s="61" t="s">
        <v>114</v>
      </c>
      <c r="BO1" s="61" t="s">
        <v>115</v>
      </c>
      <c r="BP1" s="61" t="s">
        <v>116</v>
      </c>
      <c r="BQ1" s="61" t="s">
        <v>117</v>
      </c>
      <c r="BR1" s="61" t="s">
        <v>118</v>
      </c>
      <c r="BS1" s="61" t="s">
        <v>119</v>
      </c>
      <c r="BT1" s="61" t="s">
        <v>120</v>
      </c>
      <c r="BU1" s="61" t="s">
        <v>121</v>
      </c>
      <c r="BV1" s="61" t="s">
        <v>122</v>
      </c>
      <c r="BW1" s="61" t="s">
        <v>123</v>
      </c>
      <c r="BX1" s="61" t="s">
        <v>124</v>
      </c>
      <c r="BY1" s="61" t="s">
        <v>125</v>
      </c>
      <c r="BZ1" s="61" t="s">
        <v>126</v>
      </c>
      <c r="CA1" s="61" t="s">
        <v>127</v>
      </c>
      <c r="CB1" s="61" t="s">
        <v>128</v>
      </c>
      <c r="CC1" s="61" t="s">
        <v>129</v>
      </c>
      <c r="CD1" s="61" t="s">
        <v>130</v>
      </c>
      <c r="CE1" s="61" t="s">
        <v>131</v>
      </c>
      <c r="CF1" s="61" t="s">
        <v>132</v>
      </c>
      <c r="CG1" s="61" t="s">
        <v>133</v>
      </c>
      <c r="CH1" s="61" t="s">
        <v>134</v>
      </c>
      <c r="CI1" s="61" t="s">
        <v>135</v>
      </c>
      <c r="CJ1" s="61" t="s">
        <v>136</v>
      </c>
      <c r="CK1" s="61" t="s">
        <v>137</v>
      </c>
      <c r="CL1" s="61" t="s">
        <v>138</v>
      </c>
      <c r="CM1" s="61" t="s">
        <v>139</v>
      </c>
      <c r="CN1" s="61" t="s">
        <v>140</v>
      </c>
      <c r="CO1" s="61" t="s">
        <v>141</v>
      </c>
      <c r="CP1" s="61" t="s">
        <v>142</v>
      </c>
      <c r="CQ1" s="61" t="s">
        <v>143</v>
      </c>
      <c r="CR1" s="61" t="s">
        <v>144</v>
      </c>
      <c r="CS1" s="61" t="s">
        <v>145</v>
      </c>
      <c r="CT1" s="61" t="s">
        <v>146</v>
      </c>
      <c r="CU1" s="61" t="s">
        <v>147</v>
      </c>
      <c r="CV1" s="61" t="s">
        <v>148</v>
      </c>
      <c r="CW1" s="61" t="s">
        <v>149</v>
      </c>
      <c r="CX1" s="61" t="s">
        <v>150</v>
      </c>
      <c r="CY1" s="61" t="s">
        <v>151</v>
      </c>
      <c r="CZ1" s="61" t="s">
        <v>152</v>
      </c>
      <c r="DA1" s="61" t="s">
        <v>153</v>
      </c>
      <c r="DB1" s="61" t="s">
        <v>154</v>
      </c>
      <c r="DC1" s="61" t="s">
        <v>155</v>
      </c>
      <c r="DD1" s="61" t="s">
        <v>156</v>
      </c>
      <c r="DE1" s="61" t="s">
        <v>157</v>
      </c>
      <c r="DF1" s="61" t="s">
        <v>158</v>
      </c>
      <c r="DG1" s="61" t="s">
        <v>159</v>
      </c>
      <c r="DH1" s="61" t="s">
        <v>160</v>
      </c>
      <c r="DI1" s="61" t="s">
        <v>161</v>
      </c>
      <c r="DJ1" s="61" t="s">
        <v>162</v>
      </c>
      <c r="DK1" s="61" t="s">
        <v>163</v>
      </c>
      <c r="DL1" s="61" t="s">
        <v>164</v>
      </c>
      <c r="DM1" s="61" t="s">
        <v>165</v>
      </c>
      <c r="DN1" s="61" t="s">
        <v>166</v>
      </c>
      <c r="DO1" s="61" t="s">
        <v>167</v>
      </c>
      <c r="DP1" s="61" t="s">
        <v>168</v>
      </c>
      <c r="DQ1" s="61" t="s">
        <v>169</v>
      </c>
      <c r="DR1" s="61" t="s">
        <v>170</v>
      </c>
      <c r="DS1" s="61" t="s">
        <v>171</v>
      </c>
      <c r="DT1" s="61" t="s">
        <v>172</v>
      </c>
      <c r="DU1" s="61" t="s">
        <v>173</v>
      </c>
      <c r="DV1" s="61" t="s">
        <v>174</v>
      </c>
      <c r="DW1" s="61" t="s">
        <v>175</v>
      </c>
      <c r="DX1" s="61" t="s">
        <v>176</v>
      </c>
      <c r="DY1" s="61" t="s">
        <v>177</v>
      </c>
      <c r="DZ1" s="61" t="s">
        <v>178</v>
      </c>
      <c r="EA1" s="61" t="s">
        <v>179</v>
      </c>
      <c r="EB1" s="61" t="s">
        <v>180</v>
      </c>
      <c r="EC1" s="61" t="s">
        <v>181</v>
      </c>
      <c r="ED1" s="61" t="s">
        <v>182</v>
      </c>
      <c r="EE1" s="61" t="s">
        <v>183</v>
      </c>
      <c r="EF1" s="61" t="s">
        <v>184</v>
      </c>
      <c r="EG1" s="61" t="s">
        <v>185</v>
      </c>
      <c r="EH1" s="61" t="s">
        <v>186</v>
      </c>
      <c r="EI1" s="61" t="s">
        <v>187</v>
      </c>
      <c r="EJ1" s="61" t="s">
        <v>188</v>
      </c>
      <c r="EK1" s="61" t="s">
        <v>189</v>
      </c>
      <c r="EL1" s="61" t="s">
        <v>190</v>
      </c>
      <c r="EM1" s="61" t="s">
        <v>191</v>
      </c>
      <c r="EN1" s="61" t="s">
        <v>192</v>
      </c>
      <c r="EO1" s="61" t="s">
        <v>193</v>
      </c>
      <c r="EP1" s="61" t="s">
        <v>194</v>
      </c>
      <c r="EQ1" s="61" t="s">
        <v>195</v>
      </c>
      <c r="ER1" s="61" t="s">
        <v>196</v>
      </c>
      <c r="ES1" s="61" t="s">
        <v>197</v>
      </c>
      <c r="ET1" s="61" t="s">
        <v>198</v>
      </c>
      <c r="EU1" s="61" t="s">
        <v>199</v>
      </c>
      <c r="EV1" s="61" t="s">
        <v>200</v>
      </c>
      <c r="EW1" s="61" t="s">
        <v>201</v>
      </c>
      <c r="EX1" s="61" t="s">
        <v>202</v>
      </c>
      <c r="EY1" s="61" t="s">
        <v>203</v>
      </c>
      <c r="EZ1" s="61" t="s">
        <v>204</v>
      </c>
      <c r="FA1" s="61" t="s">
        <v>205</v>
      </c>
      <c r="FB1" s="61" t="s">
        <v>206</v>
      </c>
      <c r="FC1" s="61" t="s">
        <v>207</v>
      </c>
      <c r="FD1" s="61" t="s">
        <v>208</v>
      </c>
      <c r="FE1" s="61" t="s">
        <v>209</v>
      </c>
      <c r="FF1" s="61" t="s">
        <v>210</v>
      </c>
      <c r="FG1" s="61" t="s">
        <v>211</v>
      </c>
      <c r="FH1" s="61" t="s">
        <v>212</v>
      </c>
      <c r="FI1" s="61" t="s">
        <v>213</v>
      </c>
      <c r="FJ1" s="61" t="s">
        <v>214</v>
      </c>
      <c r="FK1" s="61" t="s">
        <v>215</v>
      </c>
      <c r="FL1" s="61" t="s">
        <v>216</v>
      </c>
      <c r="FM1" s="61" t="s">
        <v>217</v>
      </c>
      <c r="FN1" s="61" t="s">
        <v>218</v>
      </c>
      <c r="FO1" s="61" t="s">
        <v>219</v>
      </c>
      <c r="FP1" s="61" t="s">
        <v>220</v>
      </c>
      <c r="FQ1" s="61" t="s">
        <v>221</v>
      </c>
      <c r="FR1" s="61" t="s">
        <v>222</v>
      </c>
      <c r="FS1" s="61" t="s">
        <v>223</v>
      </c>
      <c r="FT1" s="61" t="s">
        <v>224</v>
      </c>
      <c r="FU1" s="61" t="s">
        <v>225</v>
      </c>
      <c r="FV1" s="61" t="s">
        <v>226</v>
      </c>
      <c r="FW1" s="61" t="s">
        <v>227</v>
      </c>
      <c r="FX1" s="61" t="s">
        <v>228</v>
      </c>
      <c r="FY1" s="61" t="s">
        <v>229</v>
      </c>
      <c r="FZ1" s="61" t="s">
        <v>230</v>
      </c>
      <c r="GA1" s="61" t="s">
        <v>231</v>
      </c>
    </row>
    <row r="2">
      <c r="A2" s="63" t="s">
        <v>232</v>
      </c>
      <c r="B2" s="63" t="s">
        <v>233</v>
      </c>
      <c r="C2" s="63" t="s">
        <v>234</v>
      </c>
      <c r="D2" s="63">
        <v>80131.0</v>
      </c>
      <c r="E2" s="63" t="s">
        <v>235</v>
      </c>
      <c r="H2" s="63">
        <v>1.0</v>
      </c>
      <c r="I2" s="63">
        <v>4.0</v>
      </c>
      <c r="L2" s="63">
        <v>150.0</v>
      </c>
      <c r="N2" s="63">
        <v>140.0</v>
      </c>
      <c r="U2" s="63">
        <v>1.0</v>
      </c>
      <c r="W2" s="64">
        <v>10.0</v>
      </c>
      <c r="X2" s="63">
        <v>6.0</v>
      </c>
      <c r="AB2" s="63">
        <v>2.0</v>
      </c>
      <c r="AE2" s="63">
        <v>711.0</v>
      </c>
      <c r="AG2" s="63">
        <v>720.0</v>
      </c>
      <c r="AO2" s="63">
        <v>1.0</v>
      </c>
      <c r="AP2" s="63">
        <v>6.0</v>
      </c>
      <c r="AQ2" s="63">
        <v>10.0</v>
      </c>
      <c r="BM2" s="64"/>
    </row>
    <row r="3">
      <c r="A3" s="63" t="s">
        <v>236</v>
      </c>
      <c r="B3" s="63" t="s">
        <v>237</v>
      </c>
      <c r="C3" s="63" t="s">
        <v>238</v>
      </c>
      <c r="D3" s="63">
        <v>80123.0</v>
      </c>
      <c r="E3" s="63" t="s">
        <v>239</v>
      </c>
      <c r="G3" s="63">
        <v>21.0</v>
      </c>
      <c r="I3" s="63">
        <v>11.0</v>
      </c>
      <c r="K3" s="63">
        <v>33.0</v>
      </c>
      <c r="L3" s="63">
        <v>1079.0</v>
      </c>
      <c r="N3" s="63">
        <v>1096.0</v>
      </c>
      <c r="Q3" s="63">
        <v>20.0</v>
      </c>
      <c r="S3" s="63">
        <v>2.0</v>
      </c>
      <c r="W3" s="64"/>
      <c r="X3" s="63">
        <v>26.0</v>
      </c>
      <c r="Z3" s="63">
        <v>39.0</v>
      </c>
      <c r="AB3" s="63">
        <v>14.0</v>
      </c>
      <c r="AD3" s="63">
        <v>14.0</v>
      </c>
      <c r="AE3" s="63">
        <v>1330.0</v>
      </c>
      <c r="AG3" s="63">
        <v>1365.0</v>
      </c>
      <c r="AL3" s="63">
        <v>17.0</v>
      </c>
      <c r="AQ3" s="63">
        <v>15.0</v>
      </c>
      <c r="AW3" s="63">
        <v>9.0</v>
      </c>
      <c r="AZ3" s="63">
        <v>5.0</v>
      </c>
      <c r="BF3" s="63">
        <v>1.0</v>
      </c>
      <c r="BJ3" s="63">
        <v>3.0</v>
      </c>
      <c r="BK3" s="63">
        <v>28.0</v>
      </c>
      <c r="BM3" s="64"/>
      <c r="BN3" s="63">
        <v>2.0</v>
      </c>
      <c r="BR3" s="63">
        <v>35.0</v>
      </c>
      <c r="BT3" s="63">
        <v>37.0</v>
      </c>
    </row>
    <row r="4">
      <c r="A4" s="63" t="s">
        <v>240</v>
      </c>
      <c r="B4" s="63" t="s">
        <v>241</v>
      </c>
      <c r="C4" s="63" t="s">
        <v>242</v>
      </c>
      <c r="D4" s="63">
        <v>80831.0</v>
      </c>
      <c r="E4" s="63" t="s">
        <v>243</v>
      </c>
      <c r="F4" s="63">
        <v>1.0</v>
      </c>
      <c r="G4" s="63">
        <v>1.0</v>
      </c>
      <c r="I4" s="63">
        <v>5.0</v>
      </c>
      <c r="K4" s="63">
        <v>1.0</v>
      </c>
      <c r="L4" s="63">
        <v>1.0</v>
      </c>
      <c r="N4" s="63">
        <v>5.0</v>
      </c>
      <c r="T4" s="63">
        <v>1.0</v>
      </c>
      <c r="U4" s="63">
        <v>1.0</v>
      </c>
      <c r="W4" s="64">
        <v>1.0</v>
      </c>
      <c r="X4" s="63">
        <v>1.0</v>
      </c>
      <c r="AB4" s="63">
        <v>1.0</v>
      </c>
      <c r="AP4" s="63">
        <v>1.0</v>
      </c>
      <c r="AQ4" s="63">
        <v>1.0</v>
      </c>
      <c r="BM4" s="64"/>
    </row>
    <row r="5" ht="15.75" customHeight="1">
      <c r="A5" s="63" t="s">
        <v>244</v>
      </c>
      <c r="B5" s="63" t="s">
        <v>245</v>
      </c>
      <c r="C5" s="63" t="s">
        <v>246</v>
      </c>
      <c r="D5" s="63">
        <v>80922.0</v>
      </c>
      <c r="E5" s="63" t="s">
        <v>243</v>
      </c>
      <c r="W5" s="64"/>
      <c r="AS5" s="63">
        <v>45.0</v>
      </c>
      <c r="AT5" s="63">
        <v>20.0</v>
      </c>
      <c r="AU5" s="63">
        <v>12.0</v>
      </c>
      <c r="AW5" s="63">
        <v>5.0</v>
      </c>
      <c r="AX5" s="63">
        <v>34.0</v>
      </c>
      <c r="AY5" s="63">
        <v>22.0</v>
      </c>
      <c r="AZ5" s="63">
        <v>150.0</v>
      </c>
      <c r="BD5" s="63">
        <v>11.0</v>
      </c>
      <c r="BG5" s="63">
        <v>1.0</v>
      </c>
      <c r="BJ5" s="63">
        <v>41.0</v>
      </c>
      <c r="BK5" s="63">
        <v>124.0</v>
      </c>
      <c r="BM5" s="64">
        <v>7.0</v>
      </c>
      <c r="BN5" s="63">
        <v>17.0</v>
      </c>
      <c r="BO5" s="63">
        <v>10.0</v>
      </c>
      <c r="BR5" s="63">
        <v>35.0</v>
      </c>
      <c r="BT5" s="63">
        <v>3.0</v>
      </c>
      <c r="BY5" s="63">
        <v>1.0</v>
      </c>
    </row>
    <row r="6">
      <c r="A6" s="63" t="s">
        <v>247</v>
      </c>
      <c r="B6" s="63" t="s">
        <v>248</v>
      </c>
      <c r="C6" s="63" t="s">
        <v>249</v>
      </c>
      <c r="D6" s="63">
        <v>80601.0</v>
      </c>
      <c r="E6" s="63" t="s">
        <v>250</v>
      </c>
      <c r="F6" s="63">
        <v>108.0</v>
      </c>
      <c r="G6" s="63">
        <v>10.0</v>
      </c>
      <c r="H6" s="63">
        <v>2111.0</v>
      </c>
      <c r="I6" s="63">
        <v>488.0</v>
      </c>
      <c r="J6" s="63">
        <v>143.0</v>
      </c>
      <c r="K6" s="63">
        <v>46.0</v>
      </c>
      <c r="M6" s="63">
        <v>335.0</v>
      </c>
      <c r="N6" s="63">
        <v>991.0</v>
      </c>
      <c r="O6" s="63">
        <v>1304.0</v>
      </c>
      <c r="P6" s="63">
        <v>448.0</v>
      </c>
      <c r="S6" s="63">
        <v>12.0</v>
      </c>
      <c r="T6" s="63">
        <v>2.0</v>
      </c>
      <c r="U6" s="63">
        <v>276.0</v>
      </c>
      <c r="V6" s="63">
        <v>143.0</v>
      </c>
      <c r="W6" s="64">
        <v>59.0</v>
      </c>
      <c r="X6" s="63">
        <v>6.0</v>
      </c>
      <c r="Y6" s="63">
        <v>1.0</v>
      </c>
      <c r="Z6" s="63">
        <v>4.0</v>
      </c>
      <c r="AA6" s="63">
        <v>76.0</v>
      </c>
      <c r="AB6" s="63">
        <v>18.0</v>
      </c>
      <c r="AC6" s="63">
        <v>1.0</v>
      </c>
      <c r="AF6" s="63">
        <v>25.0</v>
      </c>
      <c r="AG6" s="63">
        <v>68.0</v>
      </c>
      <c r="AH6" s="63">
        <v>30.0</v>
      </c>
      <c r="AI6" s="63">
        <v>9.0</v>
      </c>
      <c r="AL6" s="63">
        <v>6.0</v>
      </c>
      <c r="AN6" s="63">
        <v>3.0</v>
      </c>
      <c r="AO6" s="63">
        <v>1.0</v>
      </c>
      <c r="AP6" s="63">
        <v>2.0</v>
      </c>
      <c r="AQ6" s="63">
        <v>6.0</v>
      </c>
      <c r="AR6" s="63">
        <v>54.0</v>
      </c>
      <c r="AS6" s="63">
        <v>7.0</v>
      </c>
      <c r="AT6" s="63">
        <v>789.0</v>
      </c>
      <c r="AU6" s="63">
        <v>251.0</v>
      </c>
      <c r="AV6" s="63">
        <v>38.0</v>
      </c>
      <c r="AW6" s="63">
        <v>7.0</v>
      </c>
      <c r="AY6" s="63">
        <v>77.0</v>
      </c>
      <c r="AZ6" s="63">
        <v>504.0</v>
      </c>
      <c r="BA6" s="63">
        <v>96.0</v>
      </c>
      <c r="BB6" s="63">
        <v>93.0</v>
      </c>
      <c r="BE6" s="63">
        <v>5.0</v>
      </c>
      <c r="BF6" s="63">
        <v>7.0</v>
      </c>
      <c r="BG6" s="63">
        <v>417.0</v>
      </c>
      <c r="BH6" s="63">
        <v>38.0</v>
      </c>
      <c r="BI6" s="63">
        <v>57.0</v>
      </c>
      <c r="BJ6" s="63">
        <v>6.0</v>
      </c>
      <c r="BK6" s="63">
        <v>15.0</v>
      </c>
      <c r="BL6" s="63">
        <v>6.0</v>
      </c>
      <c r="BM6" s="64">
        <v>14.0</v>
      </c>
      <c r="BN6" s="63">
        <v>597.0</v>
      </c>
      <c r="BO6" s="63">
        <v>45.0</v>
      </c>
      <c r="BQ6" s="63">
        <v>31.0</v>
      </c>
      <c r="BS6" s="63">
        <v>55.0</v>
      </c>
      <c r="BT6" s="63">
        <v>440.0</v>
      </c>
      <c r="BU6" s="63">
        <v>1.0</v>
      </c>
      <c r="BV6" s="63">
        <v>157.0</v>
      </c>
      <c r="BY6" s="63">
        <v>42.0</v>
      </c>
      <c r="BZ6" s="63">
        <v>1.0</v>
      </c>
      <c r="CA6" s="63">
        <v>71.0</v>
      </c>
      <c r="CC6" s="63">
        <v>10.0</v>
      </c>
      <c r="CD6" s="63">
        <v>26.0</v>
      </c>
      <c r="CG6" s="63">
        <v>20.0</v>
      </c>
      <c r="CH6" s="63">
        <v>17.0</v>
      </c>
      <c r="CI6" s="63">
        <v>1.0</v>
      </c>
      <c r="CM6" s="63">
        <v>17.0</v>
      </c>
      <c r="CO6" s="63">
        <v>16.0</v>
      </c>
      <c r="CR6" s="63">
        <v>1.0</v>
      </c>
      <c r="CT6" s="63">
        <v>3.0</v>
      </c>
      <c r="CU6" s="63">
        <v>1.0</v>
      </c>
      <c r="CX6" s="63">
        <v>3.95</v>
      </c>
      <c r="CY6" s="63">
        <v>13.0</v>
      </c>
      <c r="DA6" s="63">
        <v>12.0</v>
      </c>
      <c r="DB6" s="63">
        <v>25.0</v>
      </c>
      <c r="DC6" s="63">
        <v>3.0</v>
      </c>
      <c r="DF6" s="63">
        <v>2.0</v>
      </c>
      <c r="DG6" s="63">
        <v>19.0</v>
      </c>
      <c r="DH6" s="63">
        <v>2.0</v>
      </c>
      <c r="DI6" s="63">
        <v>14.0</v>
      </c>
      <c r="DN6" s="63">
        <v>16.0</v>
      </c>
      <c r="DO6" s="63">
        <v>3.0</v>
      </c>
      <c r="DP6" s="63">
        <v>1.0</v>
      </c>
      <c r="DR6" s="63">
        <v>4.74</v>
      </c>
      <c r="DS6" s="63">
        <v>1.0</v>
      </c>
      <c r="DU6" s="63">
        <v>3.0</v>
      </c>
      <c r="DV6" s="63">
        <v>33.0</v>
      </c>
      <c r="DZ6" s="63">
        <v>10.0</v>
      </c>
      <c r="EA6" s="63">
        <v>22.0</v>
      </c>
      <c r="EB6" s="63">
        <v>8.0</v>
      </c>
      <c r="EC6" s="63">
        <v>13.0</v>
      </c>
      <c r="EE6" s="63">
        <v>3.0</v>
      </c>
      <c r="EF6" s="63">
        <v>1.0</v>
      </c>
      <c r="EL6" s="63">
        <v>2.87</v>
      </c>
      <c r="EM6" s="63">
        <v>2.0</v>
      </c>
      <c r="EO6" s="63">
        <v>12.0</v>
      </c>
      <c r="EP6" s="63">
        <v>10.0</v>
      </c>
      <c r="ET6" s="63">
        <v>1.0</v>
      </c>
      <c r="EU6" s="63">
        <v>7.0</v>
      </c>
      <c r="EV6" s="63">
        <v>1.0</v>
      </c>
      <c r="EW6" s="63">
        <v>14.0</v>
      </c>
      <c r="FB6" s="63">
        <v>2.0</v>
      </c>
      <c r="FD6" s="63">
        <v>1.0</v>
      </c>
      <c r="FF6" s="63">
        <v>11.17</v>
      </c>
      <c r="FO6" s="63">
        <v>2.0</v>
      </c>
      <c r="FP6" s="63">
        <v>2.0</v>
      </c>
    </row>
    <row r="7">
      <c r="A7" s="63" t="s">
        <v>251</v>
      </c>
      <c r="B7" s="63" t="s">
        <v>252</v>
      </c>
      <c r="C7" s="63" t="s">
        <v>253</v>
      </c>
      <c r="D7" s="63">
        <v>80863.0</v>
      </c>
      <c r="E7" s="63" t="s">
        <v>254</v>
      </c>
      <c r="I7" s="63">
        <v>150.0</v>
      </c>
      <c r="M7" s="63">
        <v>50.0</v>
      </c>
      <c r="N7" s="63">
        <v>200.0</v>
      </c>
      <c r="W7" s="64"/>
      <c r="BM7" s="64"/>
    </row>
    <row r="8">
      <c r="A8" s="63" t="s">
        <v>255</v>
      </c>
      <c r="B8" s="63" t="s">
        <v>256</v>
      </c>
      <c r="C8" s="63" t="s">
        <v>257</v>
      </c>
      <c r="D8" s="63">
        <v>80526.0</v>
      </c>
      <c r="E8" s="63" t="s">
        <v>258</v>
      </c>
      <c r="W8" s="64"/>
      <c r="Z8" s="63">
        <v>37.0</v>
      </c>
      <c r="AB8" s="63">
        <v>9.0</v>
      </c>
      <c r="AD8" s="63">
        <v>15.0</v>
      </c>
      <c r="AE8" s="63">
        <v>1445.0</v>
      </c>
      <c r="AG8" s="63">
        <v>1459.0</v>
      </c>
      <c r="AI8" s="63">
        <v>4.0</v>
      </c>
      <c r="AL8" s="63">
        <v>5.0</v>
      </c>
      <c r="AM8" s="63">
        <v>1.0</v>
      </c>
      <c r="AN8" s="63">
        <v>1.0</v>
      </c>
      <c r="AQ8" s="63">
        <v>7.0</v>
      </c>
      <c r="BM8" s="64"/>
    </row>
    <row r="9">
      <c r="A9" s="63" t="s">
        <v>259</v>
      </c>
      <c r="B9" s="63" t="s">
        <v>260</v>
      </c>
      <c r="C9" s="63" t="s">
        <v>261</v>
      </c>
      <c r="D9" s="63">
        <v>80126.0</v>
      </c>
      <c r="E9" s="63" t="s">
        <v>235</v>
      </c>
      <c r="F9" s="63">
        <v>3.0</v>
      </c>
      <c r="G9" s="63">
        <v>3.0</v>
      </c>
      <c r="H9" s="63">
        <v>1.0</v>
      </c>
      <c r="L9" s="63">
        <v>12.0</v>
      </c>
      <c r="N9" s="63">
        <v>15.0</v>
      </c>
      <c r="W9" s="64">
        <v>1.0</v>
      </c>
      <c r="X9" s="63">
        <v>1.0</v>
      </c>
      <c r="BM9" s="64"/>
    </row>
    <row r="10">
      <c r="A10" s="63" t="s">
        <v>262</v>
      </c>
      <c r="B10" s="63" t="s">
        <v>263</v>
      </c>
      <c r="C10" s="63" t="s">
        <v>264</v>
      </c>
      <c r="D10" s="63">
        <v>80031.0</v>
      </c>
      <c r="E10" s="63" t="s">
        <v>239</v>
      </c>
      <c r="W10" s="64"/>
      <c r="AR10" s="63">
        <v>109.0</v>
      </c>
      <c r="AS10" s="63">
        <v>1.0</v>
      </c>
      <c r="AT10" s="63">
        <v>169.0</v>
      </c>
      <c r="AU10" s="63">
        <v>41.0</v>
      </c>
      <c r="AY10" s="63">
        <v>31.0</v>
      </c>
      <c r="AZ10" s="63">
        <v>218.0</v>
      </c>
      <c r="BA10" s="63">
        <v>6.0</v>
      </c>
      <c r="BD10" s="63">
        <v>31.0</v>
      </c>
      <c r="BG10" s="63">
        <v>11.0</v>
      </c>
      <c r="BI10" s="63">
        <v>85.0</v>
      </c>
      <c r="BK10" s="63">
        <v>60.0</v>
      </c>
      <c r="BM10" s="64">
        <v>4.0</v>
      </c>
      <c r="BN10" s="63">
        <v>359.0</v>
      </c>
      <c r="BO10" s="63">
        <v>29.0</v>
      </c>
      <c r="BT10" s="63">
        <v>384.0</v>
      </c>
      <c r="CC10" s="63">
        <v>8.0</v>
      </c>
    </row>
    <row r="11">
      <c r="A11" s="63" t="s">
        <v>265</v>
      </c>
      <c r="B11" s="63" t="s">
        <v>266</v>
      </c>
      <c r="C11" s="63" t="s">
        <v>267</v>
      </c>
      <c r="D11" s="63">
        <v>80215.0</v>
      </c>
      <c r="E11" s="63" t="s">
        <v>239</v>
      </c>
      <c r="W11" s="64"/>
      <c r="AR11" s="63">
        <v>16.0</v>
      </c>
      <c r="AS11" s="63">
        <v>5.0</v>
      </c>
      <c r="AT11" s="63">
        <v>79.0</v>
      </c>
      <c r="AU11" s="63">
        <v>62.0</v>
      </c>
      <c r="AW11" s="63">
        <v>13.0</v>
      </c>
      <c r="AX11" s="63">
        <v>136.0</v>
      </c>
      <c r="AZ11" s="63">
        <v>279.0</v>
      </c>
      <c r="BA11" s="63">
        <v>3.0</v>
      </c>
      <c r="BE11" s="63">
        <v>12.0</v>
      </c>
      <c r="BG11" s="63">
        <v>3.0</v>
      </c>
      <c r="BI11" s="63">
        <v>32.0</v>
      </c>
      <c r="BJ11" s="63">
        <v>3.0</v>
      </c>
      <c r="BK11" s="63">
        <v>14.0</v>
      </c>
      <c r="BM11" s="64">
        <v>3.0</v>
      </c>
      <c r="BN11" s="63">
        <v>5.0</v>
      </c>
      <c r="BQ11" s="63">
        <v>2.0</v>
      </c>
      <c r="BR11" s="63">
        <v>25.0</v>
      </c>
      <c r="BT11" s="63">
        <v>20.0</v>
      </c>
      <c r="BY11" s="63">
        <v>2.0</v>
      </c>
      <c r="CC11" s="63">
        <v>5.0</v>
      </c>
    </row>
    <row r="12">
      <c r="A12" s="63" t="s">
        <v>268</v>
      </c>
      <c r="B12" s="63" t="s">
        <v>269</v>
      </c>
      <c r="C12" s="63" t="s">
        <v>270</v>
      </c>
      <c r="D12" s="63">
        <v>80737.0</v>
      </c>
      <c r="E12" s="63" t="s">
        <v>271</v>
      </c>
      <c r="H12" s="63">
        <v>6.0</v>
      </c>
      <c r="N12" s="63">
        <v>1.0</v>
      </c>
      <c r="Q12" s="63">
        <v>3.0</v>
      </c>
      <c r="U12" s="63">
        <v>2.0</v>
      </c>
      <c r="W12" s="64">
        <v>6.0</v>
      </c>
      <c r="BM12" s="64"/>
    </row>
    <row r="13">
      <c r="A13" s="63" t="s">
        <v>272</v>
      </c>
      <c r="B13" s="63" t="s">
        <v>273</v>
      </c>
      <c r="C13" s="63" t="s">
        <v>274</v>
      </c>
      <c r="D13" s="63">
        <v>80521.0</v>
      </c>
      <c r="E13" s="63" t="s">
        <v>275</v>
      </c>
      <c r="F13" s="63">
        <v>18.0</v>
      </c>
      <c r="G13" s="63">
        <v>20.0</v>
      </c>
      <c r="H13" s="63">
        <v>2.0</v>
      </c>
      <c r="I13" s="63">
        <v>2.0</v>
      </c>
      <c r="K13" s="63">
        <v>146.0</v>
      </c>
      <c r="L13" s="63">
        <v>342.0</v>
      </c>
      <c r="N13" s="63">
        <v>593.0</v>
      </c>
      <c r="P13" s="63">
        <v>2.0</v>
      </c>
      <c r="Q13" s="63">
        <v>3.0</v>
      </c>
      <c r="U13" s="63">
        <v>2.0</v>
      </c>
      <c r="W13" s="64">
        <v>14.0</v>
      </c>
      <c r="X13" s="63">
        <v>24.0</v>
      </c>
      <c r="Z13" s="63">
        <v>1.0</v>
      </c>
      <c r="AD13" s="63">
        <v>59.0</v>
      </c>
      <c r="AE13" s="63">
        <v>130.0</v>
      </c>
      <c r="AG13" s="63">
        <v>190.0</v>
      </c>
      <c r="AL13" s="63">
        <v>2.0</v>
      </c>
      <c r="AQ13" s="63">
        <v>3.0</v>
      </c>
      <c r="BM13" s="64"/>
    </row>
    <row r="14">
      <c r="A14" s="63" t="s">
        <v>276</v>
      </c>
      <c r="B14" s="63" t="s">
        <v>277</v>
      </c>
      <c r="C14" s="63" t="s">
        <v>278</v>
      </c>
      <c r="D14" s="63">
        <v>80503.0</v>
      </c>
      <c r="E14" s="63" t="s">
        <v>279</v>
      </c>
      <c r="W14" s="64"/>
      <c r="AR14" s="63">
        <v>6.0</v>
      </c>
      <c r="AS14" s="63">
        <v>6.0</v>
      </c>
      <c r="AU14" s="63">
        <v>29.0</v>
      </c>
      <c r="AW14" s="63">
        <v>34.0</v>
      </c>
      <c r="AZ14" s="63">
        <v>61.0</v>
      </c>
      <c r="BG14" s="63">
        <v>1.0</v>
      </c>
      <c r="BI14" s="63">
        <v>7.0</v>
      </c>
      <c r="BJ14" s="63">
        <v>7.0</v>
      </c>
      <c r="BK14" s="63">
        <v>45.0</v>
      </c>
      <c r="BL14" s="63">
        <v>3.0</v>
      </c>
      <c r="BM14" s="64">
        <v>3.0</v>
      </c>
      <c r="BO14" s="63">
        <v>62.0</v>
      </c>
      <c r="BQ14" s="63">
        <v>19.0</v>
      </c>
      <c r="BR14" s="63">
        <v>4.0</v>
      </c>
      <c r="BT14" s="63">
        <v>83.0</v>
      </c>
      <c r="CA14" s="63">
        <v>3.0</v>
      </c>
      <c r="CC14" s="63">
        <v>2.0</v>
      </c>
      <c r="CD14" s="63">
        <v>2.0</v>
      </c>
    </row>
    <row r="15">
      <c r="A15" s="63" t="s">
        <v>280</v>
      </c>
      <c r="B15" s="63" t="s">
        <v>281</v>
      </c>
      <c r="C15" s="63" t="s">
        <v>282</v>
      </c>
      <c r="D15" s="63">
        <v>80424.0</v>
      </c>
      <c r="E15" s="63" t="s">
        <v>283</v>
      </c>
      <c r="F15" s="63">
        <v>46.0</v>
      </c>
      <c r="G15" s="63">
        <v>46.0</v>
      </c>
      <c r="H15" s="63">
        <v>9.0</v>
      </c>
      <c r="I15" s="63">
        <v>2.0</v>
      </c>
      <c r="K15" s="63">
        <v>45.0</v>
      </c>
      <c r="L15" s="63">
        <v>166.0</v>
      </c>
      <c r="M15" s="63">
        <v>28.0</v>
      </c>
      <c r="N15" s="63">
        <v>242.0</v>
      </c>
      <c r="P15" s="63">
        <v>2.0</v>
      </c>
      <c r="S15" s="63">
        <v>6.0</v>
      </c>
      <c r="W15" s="64">
        <v>47.0</v>
      </c>
      <c r="X15" s="63">
        <v>47.0</v>
      </c>
      <c r="Y15" s="63">
        <v>20.0</v>
      </c>
      <c r="Z15" s="63">
        <v>20.0</v>
      </c>
      <c r="AD15" s="63">
        <v>10.0</v>
      </c>
      <c r="AE15" s="63">
        <v>63.0</v>
      </c>
      <c r="AF15" s="63">
        <v>60.0</v>
      </c>
      <c r="AG15" s="63">
        <v>58.0</v>
      </c>
      <c r="AL15" s="63">
        <v>16.0</v>
      </c>
      <c r="AP15" s="63">
        <v>20.0</v>
      </c>
      <c r="AQ15" s="63">
        <v>20.0</v>
      </c>
      <c r="AR15" s="63">
        <v>47.0</v>
      </c>
      <c r="AS15" s="63">
        <v>47.0</v>
      </c>
      <c r="AT15" s="63">
        <v>64.0</v>
      </c>
      <c r="AU15" s="63">
        <v>5.0</v>
      </c>
      <c r="AW15" s="63">
        <v>47.0</v>
      </c>
      <c r="AX15" s="63">
        <v>12.0</v>
      </c>
      <c r="AY15" s="63">
        <v>27.0</v>
      </c>
      <c r="AZ15" s="63">
        <v>137.0</v>
      </c>
      <c r="BB15" s="63">
        <v>1.0</v>
      </c>
      <c r="BE15" s="63">
        <v>3.0</v>
      </c>
      <c r="BI15" s="63">
        <v>26.0</v>
      </c>
      <c r="BJ15" s="63">
        <v>26.0</v>
      </c>
      <c r="BK15" s="63">
        <v>136.0</v>
      </c>
      <c r="BL15" s="63">
        <v>48.0</v>
      </c>
      <c r="BM15" s="64">
        <v>48.0</v>
      </c>
      <c r="BN15" s="63">
        <v>194.0</v>
      </c>
      <c r="BQ15" s="63">
        <v>202.0</v>
      </c>
      <c r="BR15" s="63">
        <v>56.0</v>
      </c>
      <c r="BS15" s="63">
        <v>10.0</v>
      </c>
      <c r="BT15" s="63">
        <v>442.0</v>
      </c>
      <c r="BU15" s="63">
        <v>1.0</v>
      </c>
      <c r="BY15" s="63">
        <v>11.0</v>
      </c>
      <c r="CC15" s="63">
        <v>25.0</v>
      </c>
      <c r="CD15" s="63">
        <v>25.0</v>
      </c>
    </row>
    <row r="16">
      <c r="A16" s="63" t="s">
        <v>284</v>
      </c>
      <c r="B16" s="63" t="s">
        <v>285</v>
      </c>
      <c r="C16" s="63" t="s">
        <v>286</v>
      </c>
      <c r="D16" s="63">
        <v>81303.0</v>
      </c>
      <c r="E16" s="63" t="s">
        <v>287</v>
      </c>
      <c r="F16" s="63">
        <v>50.0</v>
      </c>
      <c r="I16" s="63">
        <v>26.0</v>
      </c>
      <c r="L16" s="63">
        <v>11.0</v>
      </c>
      <c r="N16" s="63">
        <v>18.0</v>
      </c>
      <c r="P16" s="63">
        <v>2.0</v>
      </c>
      <c r="R16" s="63">
        <v>20.0</v>
      </c>
      <c r="S16" s="63">
        <v>2.0</v>
      </c>
      <c r="W16" s="64">
        <v>58.0</v>
      </c>
      <c r="AB16" s="63">
        <v>9.0</v>
      </c>
      <c r="AG16" s="63">
        <v>2.0</v>
      </c>
      <c r="AP16" s="63">
        <v>7.0</v>
      </c>
      <c r="BM16" s="64"/>
    </row>
    <row r="17">
      <c r="A17" s="63" t="s">
        <v>288</v>
      </c>
      <c r="B17" s="63" t="s">
        <v>289</v>
      </c>
      <c r="C17" s="63" t="s">
        <v>290</v>
      </c>
      <c r="D17" s="63">
        <v>81242.0</v>
      </c>
      <c r="E17" s="63" t="s">
        <v>291</v>
      </c>
      <c r="F17" s="63">
        <v>1.0</v>
      </c>
      <c r="H17" s="63">
        <v>124.0</v>
      </c>
      <c r="I17" s="63">
        <v>37.0</v>
      </c>
      <c r="N17" s="63">
        <v>4.0</v>
      </c>
      <c r="O17" s="63">
        <v>92.0</v>
      </c>
      <c r="P17" s="63">
        <v>2.0</v>
      </c>
      <c r="W17" s="64"/>
      <c r="AA17" s="63">
        <v>8.0</v>
      </c>
      <c r="AB17" s="63">
        <v>1.0</v>
      </c>
      <c r="AL17" s="63">
        <v>2.0</v>
      </c>
      <c r="AR17" s="63">
        <v>13.0</v>
      </c>
      <c r="AT17" s="63">
        <v>46.0</v>
      </c>
      <c r="AU17" s="63">
        <v>42.0</v>
      </c>
      <c r="AZ17" s="63">
        <v>64.0</v>
      </c>
      <c r="BA17" s="63">
        <v>3.0</v>
      </c>
      <c r="BB17" s="63">
        <v>2.0</v>
      </c>
      <c r="BE17" s="63">
        <v>1.0</v>
      </c>
      <c r="BG17" s="63">
        <v>1.0</v>
      </c>
      <c r="BK17" s="63">
        <v>54.8</v>
      </c>
      <c r="BL17" s="63">
        <v>12.0</v>
      </c>
      <c r="BM17" s="64"/>
      <c r="BN17" s="63">
        <v>76.0</v>
      </c>
      <c r="BO17" s="63">
        <v>12.0</v>
      </c>
      <c r="BT17" s="63">
        <v>30.0</v>
      </c>
      <c r="BV17" s="63">
        <v>1.0</v>
      </c>
      <c r="CA17" s="63">
        <v>1.0</v>
      </c>
    </row>
    <row r="18">
      <c r="A18" s="63" t="s">
        <v>292</v>
      </c>
      <c r="B18" s="63" t="s">
        <v>293</v>
      </c>
      <c r="C18" s="63" t="s">
        <v>294</v>
      </c>
      <c r="D18" s="63">
        <v>81211.0</v>
      </c>
      <c r="E18" s="63" t="s">
        <v>291</v>
      </c>
      <c r="F18" s="63">
        <v>14.0</v>
      </c>
      <c r="G18" s="63">
        <v>2.0</v>
      </c>
      <c r="H18" s="63">
        <v>135.0</v>
      </c>
      <c r="I18" s="63">
        <v>48.0</v>
      </c>
      <c r="K18" s="63">
        <v>19.0</v>
      </c>
      <c r="M18" s="63">
        <v>24.0</v>
      </c>
      <c r="N18" s="63">
        <v>178.0</v>
      </c>
      <c r="O18" s="63">
        <v>109.0</v>
      </c>
      <c r="P18" s="63">
        <v>2.0</v>
      </c>
      <c r="S18" s="63">
        <v>3.0</v>
      </c>
      <c r="U18" s="63">
        <v>6.0</v>
      </c>
      <c r="W18" s="64">
        <v>8.0</v>
      </c>
      <c r="X18" s="63">
        <v>2.0</v>
      </c>
      <c r="Y18" s="63">
        <v>3.0</v>
      </c>
      <c r="AA18" s="63">
        <v>1.0</v>
      </c>
      <c r="AB18" s="63">
        <v>12.0</v>
      </c>
      <c r="AD18" s="63">
        <v>10.0</v>
      </c>
      <c r="AG18" s="63">
        <v>29.0</v>
      </c>
      <c r="AL18" s="63">
        <v>1.0</v>
      </c>
      <c r="AM18" s="63">
        <v>1.0</v>
      </c>
      <c r="AN18" s="63">
        <v>1.0</v>
      </c>
      <c r="AR18" s="63">
        <v>64.0</v>
      </c>
      <c r="AT18" s="63">
        <v>36.0</v>
      </c>
      <c r="AU18" s="63">
        <v>66.0</v>
      </c>
      <c r="AW18" s="63">
        <v>3.0</v>
      </c>
      <c r="AY18" s="63">
        <v>10.0</v>
      </c>
      <c r="AZ18" s="63">
        <v>136.0</v>
      </c>
      <c r="BA18" s="63">
        <v>6.0</v>
      </c>
      <c r="BB18" s="63">
        <v>31.0</v>
      </c>
      <c r="BG18" s="63">
        <v>7.0</v>
      </c>
      <c r="BI18" s="63">
        <v>19.0</v>
      </c>
      <c r="BK18" s="63">
        <v>60.2</v>
      </c>
      <c r="BL18" s="63">
        <v>19.0</v>
      </c>
      <c r="BM18" s="64">
        <v>12.0</v>
      </c>
      <c r="BN18" s="63">
        <v>39.0</v>
      </c>
      <c r="BO18" s="63">
        <v>41.0</v>
      </c>
      <c r="BS18" s="63">
        <v>1.0</v>
      </c>
      <c r="BT18" s="63">
        <v>85.0</v>
      </c>
      <c r="BU18" s="63">
        <v>2.0</v>
      </c>
      <c r="BV18" s="63">
        <v>19.0</v>
      </c>
      <c r="BY18" s="63">
        <v>11.0</v>
      </c>
      <c r="CA18" s="63">
        <v>3.0</v>
      </c>
      <c r="CC18" s="63">
        <v>13.0</v>
      </c>
      <c r="CD18" s="63">
        <v>9.0</v>
      </c>
      <c r="CE18" s="63">
        <v>2.0</v>
      </c>
      <c r="CG18" s="63">
        <v>3.0</v>
      </c>
      <c r="CM18" s="63">
        <v>3.0</v>
      </c>
      <c r="CO18" s="63">
        <v>2.0</v>
      </c>
      <c r="CX18" s="63">
        <v>82.94</v>
      </c>
      <c r="EO18" s="63">
        <v>3.0</v>
      </c>
      <c r="EU18" s="63">
        <v>3.0</v>
      </c>
      <c r="FF18" s="63">
        <v>5.8</v>
      </c>
    </row>
    <row r="19">
      <c r="A19" s="63" t="s">
        <v>295</v>
      </c>
      <c r="B19" s="63" t="s">
        <v>296</v>
      </c>
      <c r="C19" s="63" t="s">
        <v>297</v>
      </c>
      <c r="D19" s="63">
        <v>81212.0</v>
      </c>
      <c r="E19" s="63" t="s">
        <v>298</v>
      </c>
      <c r="F19" s="63">
        <v>52.0</v>
      </c>
      <c r="I19" s="63">
        <v>46.0</v>
      </c>
      <c r="K19" s="63">
        <v>79.0</v>
      </c>
      <c r="L19" s="63">
        <v>102.0</v>
      </c>
      <c r="M19" s="63">
        <v>27.0</v>
      </c>
      <c r="N19" s="63">
        <v>254.0</v>
      </c>
      <c r="U19" s="63">
        <v>1.0</v>
      </c>
      <c r="W19" s="64">
        <v>73.0</v>
      </c>
      <c r="Y19" s="63">
        <v>4.0</v>
      </c>
      <c r="AE19" s="63">
        <v>4.0</v>
      </c>
      <c r="AG19" s="63">
        <v>3.0</v>
      </c>
      <c r="AI19" s="63">
        <v>1.0</v>
      </c>
      <c r="BM19" s="64"/>
    </row>
    <row r="20">
      <c r="A20" s="63" t="s">
        <v>299</v>
      </c>
      <c r="B20" s="63" t="s">
        <v>300</v>
      </c>
      <c r="C20" s="63" t="s">
        <v>301</v>
      </c>
      <c r="D20" s="63">
        <v>81611.0</v>
      </c>
      <c r="E20" s="63" t="s">
        <v>302</v>
      </c>
      <c r="F20" s="63">
        <v>10.0</v>
      </c>
      <c r="H20" s="63">
        <v>107.0</v>
      </c>
      <c r="I20" s="63">
        <v>50.0</v>
      </c>
      <c r="K20" s="63">
        <v>8.0</v>
      </c>
      <c r="L20" s="63">
        <v>11.0</v>
      </c>
      <c r="M20" s="63">
        <v>4.0</v>
      </c>
      <c r="N20" s="63">
        <v>75.0</v>
      </c>
      <c r="O20" s="63">
        <v>108.0</v>
      </c>
      <c r="S20" s="63">
        <v>1.0</v>
      </c>
      <c r="U20" s="63">
        <v>1.0</v>
      </c>
      <c r="W20" s="64">
        <v>12.0</v>
      </c>
      <c r="AB20" s="63">
        <v>10.0</v>
      </c>
      <c r="AD20" s="63">
        <v>2.0</v>
      </c>
      <c r="AE20" s="63">
        <v>99.0</v>
      </c>
      <c r="AG20" s="63">
        <v>110.0</v>
      </c>
      <c r="AR20" s="63">
        <v>16.0</v>
      </c>
      <c r="AT20" s="63">
        <v>27.0</v>
      </c>
      <c r="AU20" s="63">
        <v>24.0</v>
      </c>
      <c r="AW20" s="63">
        <v>1.0</v>
      </c>
      <c r="AX20" s="63">
        <v>2.0</v>
      </c>
      <c r="AZ20" s="63">
        <v>38.0</v>
      </c>
      <c r="BA20" s="63">
        <v>18.0</v>
      </c>
      <c r="BI20" s="63">
        <v>8.0</v>
      </c>
      <c r="BK20" s="63">
        <v>34.0</v>
      </c>
      <c r="BM20" s="64"/>
      <c r="BN20" s="63">
        <v>3.0</v>
      </c>
      <c r="BO20" s="63">
        <v>2.0</v>
      </c>
      <c r="BR20" s="63">
        <v>16.0</v>
      </c>
      <c r="BT20" s="63">
        <v>20.0</v>
      </c>
      <c r="BU20" s="63">
        <v>1.0</v>
      </c>
      <c r="CE20" s="63">
        <v>1.0</v>
      </c>
      <c r="CM20" s="63">
        <v>1.0</v>
      </c>
      <c r="CX20" s="63">
        <v>35.0</v>
      </c>
      <c r="DA20" s="63">
        <v>1.0</v>
      </c>
      <c r="DI20" s="63">
        <v>1.0</v>
      </c>
      <c r="DR20" s="63">
        <v>1.0</v>
      </c>
      <c r="EO20" s="63">
        <v>1.0</v>
      </c>
      <c r="EW20" s="63">
        <v>1.0</v>
      </c>
      <c r="FF20" s="63">
        <v>1.0</v>
      </c>
    </row>
    <row r="21" ht="15.75" customHeight="1">
      <c r="A21" s="63" t="s">
        <v>303</v>
      </c>
      <c r="B21" s="63" t="s">
        <v>304</v>
      </c>
      <c r="C21" s="63" t="s">
        <v>305</v>
      </c>
      <c r="D21" s="63">
        <v>81625.0</v>
      </c>
      <c r="E21" s="63" t="s">
        <v>306</v>
      </c>
      <c r="F21" s="63">
        <v>14.0</v>
      </c>
      <c r="H21" s="63">
        <v>225.0</v>
      </c>
      <c r="I21" s="63">
        <v>22.0</v>
      </c>
      <c r="N21" s="63">
        <v>42.0</v>
      </c>
      <c r="O21" s="63">
        <v>177.0</v>
      </c>
      <c r="P21" s="63">
        <v>25.0</v>
      </c>
      <c r="U21" s="63">
        <v>1.0</v>
      </c>
      <c r="W21" s="64">
        <v>1.0</v>
      </c>
      <c r="AA21" s="63">
        <v>15.0</v>
      </c>
      <c r="AB21" s="63">
        <v>10.0</v>
      </c>
      <c r="AD21" s="63">
        <v>2.0</v>
      </c>
      <c r="AG21" s="63">
        <v>22.0</v>
      </c>
      <c r="AH21" s="63">
        <v>4.0</v>
      </c>
      <c r="AI21" s="63">
        <v>2.0</v>
      </c>
      <c r="AR21" s="63">
        <v>12.0</v>
      </c>
      <c r="AT21" s="63">
        <v>86.0</v>
      </c>
      <c r="AU21" s="63">
        <v>9.0</v>
      </c>
      <c r="AZ21" s="63">
        <v>28.0</v>
      </c>
      <c r="BA21" s="63">
        <v>6.0</v>
      </c>
      <c r="BB21" s="63">
        <v>40.0</v>
      </c>
      <c r="BG21" s="63">
        <v>20.0</v>
      </c>
      <c r="BI21" s="63">
        <v>7.0</v>
      </c>
      <c r="BK21" s="63">
        <v>24.0</v>
      </c>
      <c r="BM21" s="64"/>
      <c r="BN21" s="63">
        <v>42.0</v>
      </c>
      <c r="BO21" s="63">
        <v>19.0</v>
      </c>
      <c r="BT21" s="63">
        <v>48.0</v>
      </c>
      <c r="BU21" s="63">
        <v>2.0</v>
      </c>
      <c r="BV21" s="63">
        <v>31.0</v>
      </c>
      <c r="CA21" s="63">
        <v>14.0</v>
      </c>
      <c r="EO21" s="63">
        <v>2.0</v>
      </c>
      <c r="EU21" s="63">
        <v>2.0</v>
      </c>
      <c r="FF21" s="63">
        <v>5.0</v>
      </c>
    </row>
    <row r="22" ht="15.75" customHeight="1">
      <c r="A22" s="63" t="s">
        <v>307</v>
      </c>
      <c r="B22" s="63" t="s">
        <v>308</v>
      </c>
      <c r="C22" s="63" t="s">
        <v>309</v>
      </c>
      <c r="D22" s="63">
        <v>80004.0</v>
      </c>
      <c r="E22" s="63" t="s">
        <v>239</v>
      </c>
      <c r="F22" s="63">
        <v>6.0</v>
      </c>
      <c r="G22" s="63">
        <v>6.0</v>
      </c>
      <c r="I22" s="63">
        <v>4.0</v>
      </c>
      <c r="L22" s="63">
        <v>67.0</v>
      </c>
      <c r="N22" s="63">
        <v>67.0</v>
      </c>
      <c r="W22" s="64">
        <v>10.0</v>
      </c>
      <c r="X22" s="63">
        <v>10.0</v>
      </c>
      <c r="BM22" s="64"/>
    </row>
    <row r="23" ht="15.75" customHeight="1">
      <c r="A23" s="63" t="s">
        <v>310</v>
      </c>
      <c r="B23" s="63" t="s">
        <v>311</v>
      </c>
      <c r="C23" s="63" t="s">
        <v>312</v>
      </c>
      <c r="D23" s="63">
        <v>80138.0</v>
      </c>
      <c r="E23" s="63" t="s">
        <v>313</v>
      </c>
      <c r="I23" s="63">
        <v>7.0</v>
      </c>
      <c r="N23" s="63">
        <v>7.0</v>
      </c>
      <c r="W23" s="64"/>
      <c r="BM23" s="64"/>
    </row>
    <row r="24" ht="15.75" customHeight="1">
      <c r="A24" s="63" t="s">
        <v>314</v>
      </c>
      <c r="B24" s="63" t="s">
        <v>315</v>
      </c>
      <c r="C24" s="63" t="s">
        <v>316</v>
      </c>
      <c r="D24" s="63">
        <v>80550.0</v>
      </c>
      <c r="E24" s="63" t="s">
        <v>258</v>
      </c>
      <c r="F24" s="63">
        <v>24.0</v>
      </c>
      <c r="G24" s="63">
        <v>7.0</v>
      </c>
      <c r="H24" s="63">
        <v>3.0</v>
      </c>
      <c r="I24" s="63">
        <v>52.0</v>
      </c>
      <c r="K24" s="63">
        <v>15.0</v>
      </c>
      <c r="L24" s="63">
        <v>429.0</v>
      </c>
      <c r="N24" s="63">
        <v>441.0</v>
      </c>
      <c r="P24" s="63">
        <v>1.0</v>
      </c>
      <c r="S24" s="63">
        <v>5.0</v>
      </c>
      <c r="U24" s="63">
        <v>10.0</v>
      </c>
      <c r="W24" s="64">
        <v>27.0</v>
      </c>
      <c r="X24" s="63">
        <v>22.0</v>
      </c>
      <c r="Z24" s="63">
        <v>8.0</v>
      </c>
      <c r="AB24" s="63">
        <v>3.0</v>
      </c>
      <c r="AD24" s="63">
        <v>11.0</v>
      </c>
      <c r="AE24" s="63">
        <v>132.0</v>
      </c>
      <c r="AG24" s="63">
        <v>131.0</v>
      </c>
      <c r="AN24" s="63">
        <v>5.0</v>
      </c>
      <c r="AP24" s="63">
        <v>1.0</v>
      </c>
      <c r="AQ24" s="63">
        <v>9.0</v>
      </c>
      <c r="BM24" s="64"/>
    </row>
    <row r="25" ht="15.75" customHeight="1">
      <c r="A25" s="63" t="s">
        <v>317</v>
      </c>
      <c r="B25" s="63" t="s">
        <v>318</v>
      </c>
      <c r="C25" s="63" t="s">
        <v>319</v>
      </c>
      <c r="D25" s="63">
        <v>80118.0</v>
      </c>
      <c r="E25" s="63" t="s">
        <v>235</v>
      </c>
      <c r="F25" s="63">
        <v>30.0</v>
      </c>
      <c r="G25" s="63">
        <v>30.0</v>
      </c>
      <c r="H25" s="63">
        <v>13.0</v>
      </c>
      <c r="I25" s="63">
        <v>168.0</v>
      </c>
      <c r="K25" s="63">
        <v>41.0</v>
      </c>
      <c r="L25" s="63">
        <v>76.0</v>
      </c>
      <c r="N25" s="63">
        <v>265.0</v>
      </c>
      <c r="S25" s="63">
        <v>1.0</v>
      </c>
      <c r="U25" s="63">
        <v>9.0</v>
      </c>
      <c r="W25" s="64">
        <v>23.0</v>
      </c>
      <c r="X25" s="63">
        <v>23.0</v>
      </c>
      <c r="AB25" s="63">
        <v>28.0</v>
      </c>
      <c r="AE25" s="63">
        <v>8.0</v>
      </c>
      <c r="AG25" s="63">
        <v>36.0</v>
      </c>
      <c r="BM25" s="64"/>
    </row>
    <row r="26" ht="15.75" customHeight="1">
      <c r="A26" s="63" t="s">
        <v>320</v>
      </c>
      <c r="B26" s="63" t="s">
        <v>321</v>
      </c>
      <c r="C26" s="63" t="s">
        <v>322</v>
      </c>
      <c r="D26" s="63">
        <v>81415.0</v>
      </c>
      <c r="E26" s="63" t="s">
        <v>323</v>
      </c>
      <c r="F26" s="63">
        <v>75.0</v>
      </c>
      <c r="H26" s="63">
        <v>13.0</v>
      </c>
      <c r="I26" s="63">
        <v>48.0</v>
      </c>
      <c r="K26" s="63">
        <v>6.0</v>
      </c>
      <c r="N26" s="63">
        <v>68.0</v>
      </c>
      <c r="P26" s="63">
        <v>5.0</v>
      </c>
      <c r="S26" s="63">
        <v>3.0</v>
      </c>
      <c r="U26" s="63">
        <v>7.0</v>
      </c>
      <c r="W26" s="64">
        <v>59.0</v>
      </c>
      <c r="Y26" s="63">
        <v>8.0</v>
      </c>
      <c r="AA26" s="63">
        <v>1.0</v>
      </c>
      <c r="AB26" s="63">
        <v>1.0</v>
      </c>
      <c r="AE26" s="63">
        <v>11.0</v>
      </c>
      <c r="AG26" s="63">
        <v>17.0</v>
      </c>
      <c r="AI26" s="63">
        <v>1.0</v>
      </c>
      <c r="AP26" s="63">
        <v>3.0</v>
      </c>
      <c r="BM26" s="64"/>
    </row>
    <row r="27" ht="15.75" customHeight="1">
      <c r="A27" s="63" t="s">
        <v>324</v>
      </c>
      <c r="B27" s="63" t="s">
        <v>325</v>
      </c>
      <c r="C27" s="63" t="s">
        <v>326</v>
      </c>
      <c r="D27" s="63">
        <v>80864.0</v>
      </c>
      <c r="E27" s="63" t="s">
        <v>243</v>
      </c>
      <c r="I27" s="63">
        <v>6.0</v>
      </c>
      <c r="L27" s="63">
        <v>6.0</v>
      </c>
      <c r="N27" s="63">
        <v>15.0</v>
      </c>
      <c r="S27" s="63">
        <v>4.0</v>
      </c>
      <c r="U27" s="63">
        <v>10.0</v>
      </c>
      <c r="W27" s="64">
        <v>91.0</v>
      </c>
      <c r="BM27" s="64"/>
    </row>
    <row r="28" ht="15.75" customHeight="1">
      <c r="A28" s="63" t="s">
        <v>327</v>
      </c>
      <c r="B28" s="63" t="s">
        <v>328</v>
      </c>
      <c r="C28" s="63" t="s">
        <v>329</v>
      </c>
      <c r="D28" s="63">
        <v>80513.0</v>
      </c>
      <c r="E28" s="63" t="s">
        <v>258</v>
      </c>
      <c r="I28" s="63">
        <v>13.0</v>
      </c>
      <c r="K28" s="63">
        <v>12.0</v>
      </c>
      <c r="L28" s="63">
        <v>34.0</v>
      </c>
      <c r="N28" s="63">
        <v>52.0</v>
      </c>
      <c r="P28" s="63">
        <v>2.0</v>
      </c>
      <c r="W28" s="64">
        <v>7.0</v>
      </c>
      <c r="X28" s="63">
        <v>7.0</v>
      </c>
      <c r="Y28" s="63">
        <v>258.0</v>
      </c>
      <c r="Z28" s="63">
        <v>258.0</v>
      </c>
      <c r="AB28" s="63">
        <v>10.0</v>
      </c>
      <c r="AD28" s="63">
        <v>29.0</v>
      </c>
      <c r="AE28" s="63">
        <v>229.0</v>
      </c>
      <c r="AG28" s="63">
        <v>258.0</v>
      </c>
      <c r="AL28" s="63">
        <v>1.0</v>
      </c>
      <c r="AP28" s="63">
        <v>46.0</v>
      </c>
      <c r="AQ28" s="63">
        <v>46.0</v>
      </c>
      <c r="BM28" s="64"/>
    </row>
    <row r="29" ht="15.75" customHeight="1">
      <c r="A29" s="63" t="s">
        <v>330</v>
      </c>
      <c r="B29" s="63" t="s">
        <v>331</v>
      </c>
      <c r="C29" s="63" t="s">
        <v>332</v>
      </c>
      <c r="D29" s="63">
        <v>81024.0</v>
      </c>
      <c r="E29" s="63" t="s">
        <v>333</v>
      </c>
      <c r="F29" s="63">
        <v>53.0</v>
      </c>
      <c r="G29" s="63">
        <v>20.0</v>
      </c>
      <c r="K29" s="63">
        <v>60.0</v>
      </c>
      <c r="L29" s="63">
        <v>247.0</v>
      </c>
      <c r="N29" s="63">
        <v>376.0</v>
      </c>
      <c r="S29" s="63">
        <v>8.0</v>
      </c>
      <c r="W29" s="64">
        <v>37.0</v>
      </c>
      <c r="X29" s="63">
        <v>20.0</v>
      </c>
      <c r="BM29" s="64"/>
    </row>
    <row r="30" ht="15.75" customHeight="1">
      <c r="A30" s="63" t="s">
        <v>334</v>
      </c>
      <c r="B30" s="63" t="s">
        <v>335</v>
      </c>
      <c r="C30" s="63" t="s">
        <v>336</v>
      </c>
      <c r="D30" s="63">
        <v>80615.0</v>
      </c>
      <c r="E30" s="63" t="s">
        <v>258</v>
      </c>
      <c r="I30" s="63">
        <v>4.0</v>
      </c>
      <c r="K30" s="63">
        <v>4.0</v>
      </c>
      <c r="L30" s="63">
        <v>12.0</v>
      </c>
      <c r="M30" s="63">
        <v>1.0</v>
      </c>
      <c r="N30" s="63">
        <v>18.0</v>
      </c>
      <c r="W30" s="64"/>
      <c r="X30" s="63">
        <v>3.0</v>
      </c>
      <c r="BM30" s="64"/>
    </row>
    <row r="31" ht="15.75" customHeight="1">
      <c r="A31" s="63" t="s">
        <v>337</v>
      </c>
      <c r="B31" s="63" t="s">
        <v>338</v>
      </c>
      <c r="C31" s="63" t="s">
        <v>339</v>
      </c>
      <c r="D31" s="63">
        <v>80520.0</v>
      </c>
      <c r="E31" s="63" t="s">
        <v>258</v>
      </c>
      <c r="F31" s="63">
        <v>98.0</v>
      </c>
      <c r="H31" s="63">
        <v>98.0</v>
      </c>
      <c r="O31" s="63">
        <v>84.0</v>
      </c>
      <c r="P31" s="63">
        <v>12.0</v>
      </c>
      <c r="S31" s="63">
        <v>2.0</v>
      </c>
      <c r="W31" s="64">
        <v>84.0</v>
      </c>
      <c r="BM31" s="64"/>
    </row>
    <row r="32" ht="15.75" customHeight="1">
      <c r="A32" s="63" t="s">
        <v>340</v>
      </c>
      <c r="B32" s="63" t="s">
        <v>341</v>
      </c>
      <c r="C32" s="63" t="s">
        <v>342</v>
      </c>
      <c r="D32" s="63">
        <v>80214.0</v>
      </c>
      <c r="E32" s="63" t="s">
        <v>239</v>
      </c>
      <c r="W32" s="64"/>
      <c r="AR32" s="63">
        <v>48.0</v>
      </c>
      <c r="AS32" s="63">
        <v>11.0</v>
      </c>
      <c r="AT32" s="63">
        <v>80.0</v>
      </c>
      <c r="AU32" s="63">
        <v>68.0</v>
      </c>
      <c r="AW32" s="63">
        <v>3.0</v>
      </c>
      <c r="AZ32" s="63">
        <v>219.0</v>
      </c>
      <c r="BA32" s="63">
        <v>18.0</v>
      </c>
      <c r="BB32" s="63">
        <v>3.0</v>
      </c>
      <c r="BD32" s="63">
        <v>219.0</v>
      </c>
      <c r="BE32" s="63">
        <v>3.0</v>
      </c>
      <c r="BG32" s="63">
        <v>5.0</v>
      </c>
      <c r="BI32" s="63">
        <v>72.0</v>
      </c>
      <c r="BJ32" s="63">
        <v>5.0</v>
      </c>
      <c r="BK32" s="63">
        <v>54.0</v>
      </c>
      <c r="BL32" s="63">
        <v>2.0</v>
      </c>
      <c r="BM32" s="64"/>
      <c r="BN32" s="63">
        <v>109.0</v>
      </c>
      <c r="BO32" s="63">
        <v>28.0</v>
      </c>
      <c r="BQ32" s="63">
        <v>27.0</v>
      </c>
      <c r="BS32" s="63">
        <v>7.0</v>
      </c>
      <c r="BT32" s="63">
        <v>142.0</v>
      </c>
      <c r="BY32" s="63">
        <v>10.0</v>
      </c>
      <c r="CA32" s="63">
        <v>2.0</v>
      </c>
      <c r="CC32" s="63">
        <v>12.0</v>
      </c>
    </row>
    <row r="33" ht="15.75" customHeight="1">
      <c r="A33" s="63" t="s">
        <v>343</v>
      </c>
      <c r="B33" s="63" t="s">
        <v>344</v>
      </c>
      <c r="C33" s="63" t="s">
        <v>345</v>
      </c>
      <c r="D33" s="63">
        <v>81101.0</v>
      </c>
      <c r="E33" s="63" t="s">
        <v>346</v>
      </c>
      <c r="W33" s="64"/>
      <c r="AS33" s="63">
        <v>4.0</v>
      </c>
      <c r="AT33" s="63">
        <v>20.0</v>
      </c>
      <c r="AU33" s="63">
        <v>4.0</v>
      </c>
      <c r="AY33" s="63">
        <v>51.0</v>
      </c>
      <c r="AZ33" s="63">
        <v>12.0</v>
      </c>
      <c r="BA33" s="63">
        <v>1.0</v>
      </c>
      <c r="BB33" s="63">
        <v>10.0</v>
      </c>
      <c r="BD33" s="63">
        <v>46.0</v>
      </c>
      <c r="BE33" s="63">
        <v>1.0</v>
      </c>
      <c r="BG33" s="63">
        <v>2.0</v>
      </c>
      <c r="BJ33" s="63">
        <v>3.0</v>
      </c>
      <c r="BK33" s="63">
        <v>20.0</v>
      </c>
      <c r="BM33" s="64"/>
      <c r="BN33" s="63">
        <v>3.0</v>
      </c>
      <c r="BO33" s="63">
        <v>6.0</v>
      </c>
      <c r="BS33" s="63">
        <v>10.0</v>
      </c>
      <c r="BT33" s="63">
        <v>7.0</v>
      </c>
      <c r="BV33" s="63">
        <v>10.0</v>
      </c>
      <c r="BX33" s="63">
        <v>17.0</v>
      </c>
      <c r="CA33" s="63">
        <v>2.0</v>
      </c>
    </row>
    <row r="34" ht="15.75" customHeight="1">
      <c r="A34" s="63" t="s">
        <v>347</v>
      </c>
      <c r="B34" s="63" t="s">
        <v>348</v>
      </c>
      <c r="C34" s="63" t="s">
        <v>349</v>
      </c>
      <c r="D34" s="63">
        <v>80015.0</v>
      </c>
      <c r="E34" s="63" t="s">
        <v>350</v>
      </c>
      <c r="W34" s="64"/>
      <c r="BM34" s="64"/>
      <c r="CY34" s="63">
        <v>73.0</v>
      </c>
      <c r="DA34" s="63">
        <v>2.0</v>
      </c>
      <c r="DB34" s="63">
        <v>236.0</v>
      </c>
      <c r="DD34" s="63">
        <v>23.0</v>
      </c>
      <c r="DE34" s="63">
        <v>4.0</v>
      </c>
      <c r="DG34" s="63">
        <v>265.0</v>
      </c>
      <c r="DL34" s="63">
        <v>6.0</v>
      </c>
      <c r="DP34" s="63">
        <v>63.0</v>
      </c>
    </row>
    <row r="35" ht="15.75" customHeight="1">
      <c r="A35" s="63" t="s">
        <v>351</v>
      </c>
      <c r="B35" s="63" t="s">
        <v>352</v>
      </c>
      <c r="C35" s="63" t="s">
        <v>353</v>
      </c>
      <c r="D35" s="63">
        <v>80909.0</v>
      </c>
      <c r="E35" s="63" t="s">
        <v>243</v>
      </c>
      <c r="F35" s="63">
        <v>70.0</v>
      </c>
      <c r="G35" s="63">
        <v>53.0</v>
      </c>
      <c r="I35" s="63">
        <v>4.0</v>
      </c>
      <c r="K35" s="63">
        <v>5.0</v>
      </c>
      <c r="L35" s="63">
        <v>61.0</v>
      </c>
      <c r="N35" s="63">
        <v>48.0</v>
      </c>
      <c r="W35" s="64">
        <v>22.0</v>
      </c>
      <c r="X35" s="63">
        <v>18.0</v>
      </c>
      <c r="Y35" s="63">
        <v>65.0</v>
      </c>
      <c r="Z35" s="63">
        <v>14.0</v>
      </c>
      <c r="AB35" s="63">
        <v>3.0</v>
      </c>
      <c r="AE35" s="63">
        <v>18.0</v>
      </c>
      <c r="AG35" s="63">
        <v>62.0</v>
      </c>
      <c r="AL35" s="63">
        <v>2.0</v>
      </c>
      <c r="AP35" s="63">
        <v>3.0</v>
      </c>
      <c r="AQ35" s="63">
        <v>1.0</v>
      </c>
      <c r="BM35" s="64"/>
    </row>
    <row r="36" ht="15.75" customHeight="1">
      <c r="A36" s="63" t="s">
        <v>354</v>
      </c>
      <c r="B36" s="63" t="s">
        <v>355</v>
      </c>
      <c r="C36" s="63" t="s">
        <v>356</v>
      </c>
      <c r="D36" s="63">
        <v>80907.0</v>
      </c>
      <c r="E36" s="63" t="s">
        <v>243</v>
      </c>
      <c r="F36" s="63">
        <v>38.0</v>
      </c>
      <c r="G36" s="63">
        <v>38.0</v>
      </c>
      <c r="I36" s="63">
        <v>1.0</v>
      </c>
      <c r="K36" s="63">
        <v>162.0</v>
      </c>
      <c r="N36" s="63">
        <v>158.0</v>
      </c>
      <c r="W36" s="64">
        <v>43.0</v>
      </c>
      <c r="X36" s="63">
        <v>43.0</v>
      </c>
      <c r="Y36" s="63">
        <v>2.0</v>
      </c>
      <c r="Z36" s="63">
        <v>2.0</v>
      </c>
      <c r="AG36" s="63">
        <v>2.0</v>
      </c>
      <c r="BM36" s="64"/>
    </row>
    <row r="37" ht="15.75" customHeight="1">
      <c r="A37" s="63" t="s">
        <v>357</v>
      </c>
      <c r="B37" s="63" t="s">
        <v>358</v>
      </c>
      <c r="C37" s="63" t="s">
        <v>359</v>
      </c>
      <c r="D37" s="63">
        <v>80439.0</v>
      </c>
      <c r="E37" s="63" t="s">
        <v>239</v>
      </c>
      <c r="W37" s="64"/>
      <c r="AR37" s="63">
        <v>16.0</v>
      </c>
      <c r="AT37" s="63">
        <v>29.0</v>
      </c>
      <c r="AU37" s="63">
        <v>41.0</v>
      </c>
      <c r="AX37" s="63">
        <v>4.0</v>
      </c>
      <c r="AZ37" s="63">
        <v>68.0</v>
      </c>
      <c r="BA37" s="63">
        <v>4.0</v>
      </c>
      <c r="BI37" s="63">
        <v>18.0</v>
      </c>
      <c r="BK37" s="63">
        <v>69.0</v>
      </c>
      <c r="BM37" s="64"/>
    </row>
    <row r="38" ht="15.75" customHeight="1">
      <c r="A38" s="63" t="s">
        <v>360</v>
      </c>
      <c r="B38" s="63" t="s">
        <v>361</v>
      </c>
      <c r="C38" s="63" t="s">
        <v>362</v>
      </c>
      <c r="D38" s="63">
        <v>80018.0</v>
      </c>
      <c r="E38" s="63" t="s">
        <v>350</v>
      </c>
      <c r="F38" s="63">
        <v>38.0</v>
      </c>
      <c r="H38" s="63">
        <v>14.0</v>
      </c>
      <c r="I38" s="63">
        <v>37.0</v>
      </c>
      <c r="K38" s="63">
        <v>13.0</v>
      </c>
      <c r="L38" s="63">
        <v>33.0</v>
      </c>
      <c r="M38" s="63">
        <v>147.0</v>
      </c>
      <c r="N38" s="63">
        <v>204.0</v>
      </c>
      <c r="O38" s="63">
        <v>32.0</v>
      </c>
      <c r="S38" s="63">
        <v>3.0</v>
      </c>
      <c r="W38" s="64">
        <v>43.0</v>
      </c>
      <c r="Y38" s="63">
        <v>4.0</v>
      </c>
      <c r="AD38" s="63">
        <v>4.0</v>
      </c>
      <c r="AE38" s="63">
        <v>4.0</v>
      </c>
      <c r="AF38" s="63">
        <v>85.0</v>
      </c>
      <c r="AG38" s="63">
        <v>97.0</v>
      </c>
      <c r="AT38" s="63">
        <v>1.0</v>
      </c>
      <c r="AU38" s="63">
        <v>3.0</v>
      </c>
      <c r="AZ38" s="63">
        <v>4.0</v>
      </c>
      <c r="BK38" s="63">
        <v>42.0</v>
      </c>
      <c r="BM38" s="64"/>
    </row>
    <row r="39" ht="15.75" customHeight="1">
      <c r="A39" s="63" t="s">
        <v>363</v>
      </c>
      <c r="B39" s="63" t="s">
        <v>364</v>
      </c>
      <c r="C39" s="63" t="s">
        <v>365</v>
      </c>
      <c r="D39" s="63">
        <v>80011.0</v>
      </c>
      <c r="E39" s="63" t="s">
        <v>250</v>
      </c>
      <c r="F39" s="63">
        <v>24.0</v>
      </c>
      <c r="H39" s="63">
        <v>1794.0</v>
      </c>
      <c r="I39" s="63">
        <v>294.0</v>
      </c>
      <c r="J39" s="63">
        <v>26.0</v>
      </c>
      <c r="K39" s="63">
        <v>118.0</v>
      </c>
      <c r="M39" s="63">
        <v>265.0</v>
      </c>
      <c r="N39" s="63">
        <v>699.0</v>
      </c>
      <c r="O39" s="63">
        <v>1165.0</v>
      </c>
      <c r="P39" s="63">
        <v>455.0</v>
      </c>
      <c r="Q39" s="63">
        <v>3.0</v>
      </c>
      <c r="S39" s="63">
        <v>2.0</v>
      </c>
      <c r="U39" s="63">
        <v>142.0</v>
      </c>
      <c r="V39" s="63">
        <v>23.0</v>
      </c>
      <c r="W39" s="64">
        <v>32.0</v>
      </c>
      <c r="X39" s="63">
        <v>1.0</v>
      </c>
      <c r="AA39" s="63">
        <v>57.0</v>
      </c>
      <c r="AB39" s="63">
        <v>7.0</v>
      </c>
      <c r="AD39" s="63">
        <v>2.0</v>
      </c>
      <c r="AF39" s="63">
        <v>28.0</v>
      </c>
      <c r="AG39" s="63">
        <v>45.0</v>
      </c>
      <c r="AH39" s="63">
        <v>25.0</v>
      </c>
      <c r="AI39" s="63">
        <v>15.0</v>
      </c>
      <c r="AL39" s="63">
        <v>4.0</v>
      </c>
      <c r="AN39" s="63">
        <v>3.0</v>
      </c>
      <c r="AP39" s="63">
        <v>2.0</v>
      </c>
      <c r="AQ39" s="63">
        <v>3.0</v>
      </c>
      <c r="AR39" s="63">
        <v>21.0</v>
      </c>
      <c r="AT39" s="63">
        <v>513.0</v>
      </c>
      <c r="AU39" s="63">
        <v>105.0</v>
      </c>
      <c r="AV39" s="63">
        <v>14.0</v>
      </c>
      <c r="AW39" s="63">
        <v>6.0</v>
      </c>
      <c r="AY39" s="63">
        <v>45.0</v>
      </c>
      <c r="AZ39" s="63">
        <v>311.0</v>
      </c>
      <c r="BA39" s="63">
        <v>71.0</v>
      </c>
      <c r="BB39" s="63">
        <v>93.0</v>
      </c>
      <c r="BE39" s="63">
        <v>3.0</v>
      </c>
      <c r="BG39" s="63">
        <v>201.0</v>
      </c>
      <c r="BH39" s="63">
        <v>14.0</v>
      </c>
      <c r="BI39" s="63">
        <v>11.0</v>
      </c>
      <c r="BK39" s="63">
        <v>21.0</v>
      </c>
      <c r="BL39" s="63">
        <v>1.0</v>
      </c>
      <c r="BM39" s="64"/>
      <c r="BN39" s="63">
        <v>272.0</v>
      </c>
      <c r="BO39" s="63">
        <v>26.0</v>
      </c>
      <c r="BP39" s="63">
        <v>1.0</v>
      </c>
      <c r="BS39" s="63">
        <v>26.0</v>
      </c>
      <c r="BT39" s="63">
        <v>126.0</v>
      </c>
      <c r="BU39" s="63">
        <v>8.0</v>
      </c>
      <c r="BV39" s="63">
        <v>123.0</v>
      </c>
      <c r="BY39" s="63">
        <v>4.0</v>
      </c>
      <c r="CA39" s="63">
        <v>61.0</v>
      </c>
      <c r="CB39" s="63">
        <v>1.0</v>
      </c>
      <c r="CC39" s="63">
        <v>3.0</v>
      </c>
      <c r="CD39" s="63">
        <v>1.0</v>
      </c>
      <c r="CG39" s="63">
        <v>21.0</v>
      </c>
      <c r="CH39" s="63">
        <v>2.0</v>
      </c>
      <c r="CL39" s="63">
        <v>10.0</v>
      </c>
      <c r="CM39" s="63">
        <v>8.0</v>
      </c>
      <c r="CN39" s="63">
        <v>5.0</v>
      </c>
      <c r="CO39" s="63">
        <v>13.0</v>
      </c>
      <c r="CR39" s="63">
        <v>2.0</v>
      </c>
      <c r="CT39" s="63">
        <v>5.0</v>
      </c>
      <c r="CX39" s="63">
        <v>9.0</v>
      </c>
      <c r="DA39" s="63">
        <v>11.0</v>
      </c>
      <c r="DB39" s="63">
        <v>5.0</v>
      </c>
      <c r="DC39" s="63">
        <v>1.0</v>
      </c>
      <c r="DF39" s="63">
        <v>2.0</v>
      </c>
      <c r="DG39" s="63">
        <v>1.0</v>
      </c>
      <c r="DI39" s="63">
        <v>16.0</v>
      </c>
      <c r="DN39" s="63">
        <v>1.0</v>
      </c>
      <c r="DO39" s="63">
        <v>1.0</v>
      </c>
      <c r="DR39" s="63">
        <v>9.0</v>
      </c>
      <c r="DS39" s="63">
        <v>2.0</v>
      </c>
      <c r="DU39" s="63">
        <v>3.0</v>
      </c>
      <c r="DZ39" s="63">
        <v>5.0</v>
      </c>
      <c r="EA39" s="63">
        <v>2.0</v>
      </c>
      <c r="EC39" s="63">
        <v>8.0</v>
      </c>
      <c r="EL39" s="63">
        <v>12.0</v>
      </c>
      <c r="EO39" s="63">
        <v>6.0</v>
      </c>
      <c r="ET39" s="63">
        <v>2.0</v>
      </c>
      <c r="EW39" s="63">
        <v>6.0</v>
      </c>
      <c r="FD39" s="63">
        <v>2.0</v>
      </c>
      <c r="FF39" s="63">
        <v>8.0</v>
      </c>
      <c r="FJ39" s="63">
        <v>4.0</v>
      </c>
      <c r="FK39" s="63">
        <v>5.0</v>
      </c>
      <c r="FO39" s="63">
        <v>23.0</v>
      </c>
      <c r="FP39" s="63">
        <v>23.0</v>
      </c>
      <c r="FQ39" s="63">
        <v>1.0</v>
      </c>
      <c r="FR39" s="63">
        <v>1.0</v>
      </c>
      <c r="FU39" s="63">
        <v>7.0</v>
      </c>
      <c r="GA39" s="63">
        <v>7.0</v>
      </c>
    </row>
    <row r="40" ht="15.75" customHeight="1">
      <c r="A40" s="63" t="s">
        <v>366</v>
      </c>
      <c r="B40" s="63" t="s">
        <v>367</v>
      </c>
      <c r="C40" s="63" t="s">
        <v>368</v>
      </c>
      <c r="D40" s="63">
        <v>80601.0</v>
      </c>
      <c r="E40" s="63" t="s">
        <v>250</v>
      </c>
      <c r="H40" s="63">
        <v>332.0</v>
      </c>
      <c r="I40" s="63">
        <v>45.0</v>
      </c>
      <c r="M40" s="63">
        <v>5.0</v>
      </c>
      <c r="N40" s="63">
        <v>3.0</v>
      </c>
      <c r="O40" s="63">
        <v>243.0</v>
      </c>
      <c r="P40" s="63">
        <v>87.0</v>
      </c>
      <c r="U40" s="63">
        <v>49.0</v>
      </c>
      <c r="W40" s="64"/>
      <c r="AA40" s="63">
        <v>8.0</v>
      </c>
      <c r="AG40" s="63">
        <v>2.0</v>
      </c>
      <c r="AH40" s="63">
        <v>2.0</v>
      </c>
      <c r="AI40" s="63">
        <v>4.0</v>
      </c>
      <c r="AP40" s="63">
        <v>8.0</v>
      </c>
      <c r="AT40" s="63">
        <v>114.0</v>
      </c>
      <c r="AU40" s="63">
        <v>13.0</v>
      </c>
      <c r="BA40" s="63">
        <v>24.0</v>
      </c>
      <c r="BB40" s="63">
        <v>68.0</v>
      </c>
      <c r="BG40" s="63">
        <v>37.0</v>
      </c>
      <c r="BK40" s="63">
        <v>4.0</v>
      </c>
      <c r="BM40" s="64"/>
      <c r="BN40" s="63">
        <v>48.0</v>
      </c>
      <c r="BT40" s="63">
        <v>4.0</v>
      </c>
      <c r="BV40" s="63">
        <v>35.0</v>
      </c>
      <c r="CA40" s="63">
        <v>9.0</v>
      </c>
      <c r="CG40" s="63">
        <v>5.0</v>
      </c>
      <c r="CO40" s="63">
        <v>2.0</v>
      </c>
      <c r="CR40" s="63">
        <v>2.0</v>
      </c>
      <c r="CT40" s="63">
        <v>1.0</v>
      </c>
      <c r="CX40" s="63">
        <v>3.0</v>
      </c>
      <c r="DA40" s="63">
        <v>17.0</v>
      </c>
      <c r="DI40" s="63">
        <v>8.0</v>
      </c>
      <c r="DL40" s="63">
        <v>1.0</v>
      </c>
      <c r="DN40" s="63">
        <v>8.0</v>
      </c>
      <c r="DR40" s="63">
        <v>4.0</v>
      </c>
      <c r="FJ40" s="63">
        <v>5.0</v>
      </c>
      <c r="FP40" s="63">
        <v>1.0</v>
      </c>
      <c r="FR40" s="63">
        <v>3.0</v>
      </c>
      <c r="FU40" s="63">
        <v>1.0</v>
      </c>
      <c r="GA40" s="63">
        <v>4.3</v>
      </c>
    </row>
    <row r="41" ht="15.75" customHeight="1">
      <c r="A41" s="63" t="s">
        <v>369</v>
      </c>
      <c r="B41" s="63" t="s">
        <v>370</v>
      </c>
      <c r="C41" s="63" t="s">
        <v>371</v>
      </c>
      <c r="D41" s="63">
        <v>80723.0</v>
      </c>
      <c r="E41" s="63" t="s">
        <v>372</v>
      </c>
      <c r="H41" s="63">
        <v>165.0</v>
      </c>
      <c r="N41" s="63">
        <v>14.0</v>
      </c>
      <c r="O41" s="63">
        <v>113.0</v>
      </c>
      <c r="P41" s="63">
        <v>31.0</v>
      </c>
      <c r="S41" s="63">
        <v>1.0</v>
      </c>
      <c r="T41" s="63">
        <v>1.0</v>
      </c>
      <c r="U41" s="63">
        <v>4.0</v>
      </c>
      <c r="W41" s="64">
        <v>1.0</v>
      </c>
      <c r="AA41" s="63">
        <v>21.0</v>
      </c>
      <c r="AG41" s="63">
        <v>2.0</v>
      </c>
      <c r="AH41" s="63">
        <v>13.0</v>
      </c>
      <c r="AI41" s="63">
        <v>5.0</v>
      </c>
      <c r="AN41" s="63">
        <v>1.0</v>
      </c>
      <c r="AT41" s="63">
        <v>79.0</v>
      </c>
      <c r="AZ41" s="63">
        <v>2.0</v>
      </c>
      <c r="BA41" s="63">
        <v>9.0</v>
      </c>
      <c r="BB41" s="63">
        <v>30.0</v>
      </c>
      <c r="BE41" s="63">
        <v>3.0</v>
      </c>
      <c r="BG41" s="63">
        <v>35.0</v>
      </c>
      <c r="BK41" s="63">
        <v>3.5</v>
      </c>
      <c r="BM41" s="64"/>
      <c r="BN41" s="63">
        <v>59.0</v>
      </c>
      <c r="BT41" s="63">
        <v>1.0</v>
      </c>
      <c r="BU41" s="63">
        <v>2.0</v>
      </c>
      <c r="BV41" s="63">
        <v>51.0</v>
      </c>
      <c r="BY41" s="63">
        <v>4.0</v>
      </c>
      <c r="CA41" s="63">
        <v>1.0</v>
      </c>
      <c r="EO41" s="63">
        <v>2.0</v>
      </c>
      <c r="EV41" s="63">
        <v>2.0</v>
      </c>
      <c r="FF41" s="63">
        <v>4.0</v>
      </c>
    </row>
    <row r="42" ht="15.75" customHeight="1">
      <c r="A42" s="63" t="s">
        <v>373</v>
      </c>
      <c r="B42" s="63" t="s">
        <v>374</v>
      </c>
      <c r="C42" s="63" t="s">
        <v>375</v>
      </c>
      <c r="D42" s="63">
        <v>80807.0</v>
      </c>
      <c r="E42" s="63" t="s">
        <v>376</v>
      </c>
      <c r="H42" s="63">
        <v>19.0</v>
      </c>
      <c r="J42" s="63">
        <v>3.0</v>
      </c>
      <c r="K42" s="63">
        <v>8.0</v>
      </c>
      <c r="N42" s="63">
        <v>19.0</v>
      </c>
      <c r="O42" s="63">
        <v>66.0</v>
      </c>
      <c r="P42" s="63">
        <v>8.0</v>
      </c>
      <c r="S42" s="63">
        <v>1.0</v>
      </c>
      <c r="V42" s="63">
        <v>2.0</v>
      </c>
      <c r="W42" s="64">
        <v>96.0</v>
      </c>
      <c r="BM42" s="64"/>
    </row>
    <row r="43" ht="15.75" customHeight="1">
      <c r="A43" s="63" t="s">
        <v>377</v>
      </c>
      <c r="B43" s="63" t="s">
        <v>378</v>
      </c>
      <c r="C43" s="63" t="s">
        <v>379</v>
      </c>
      <c r="D43" s="63">
        <v>81321.0</v>
      </c>
      <c r="E43" s="63" t="s">
        <v>380</v>
      </c>
      <c r="F43" s="63">
        <v>17.0</v>
      </c>
      <c r="H43" s="63">
        <v>306.0</v>
      </c>
      <c r="I43" s="63">
        <v>178.0</v>
      </c>
      <c r="K43" s="63">
        <v>1.0</v>
      </c>
      <c r="N43" s="63">
        <v>106.0</v>
      </c>
      <c r="O43" s="63">
        <v>209.0</v>
      </c>
      <c r="P43" s="63">
        <v>75.0</v>
      </c>
      <c r="U43" s="63">
        <v>95.0</v>
      </c>
      <c r="W43" s="64">
        <v>8.0</v>
      </c>
      <c r="AA43" s="63">
        <v>39.0</v>
      </c>
      <c r="AB43" s="63">
        <v>157.0</v>
      </c>
      <c r="AD43" s="63">
        <v>2.0</v>
      </c>
      <c r="AG43" s="63">
        <v>50.0</v>
      </c>
      <c r="AH43" s="63">
        <v>6.0</v>
      </c>
      <c r="AI43" s="63">
        <v>116.0</v>
      </c>
      <c r="AL43" s="63">
        <v>2.0</v>
      </c>
      <c r="AN43" s="63">
        <v>24.0</v>
      </c>
      <c r="AP43" s="63">
        <v>12.0</v>
      </c>
      <c r="AR43" s="63">
        <v>21.0</v>
      </c>
      <c r="AT43" s="63">
        <v>82.0</v>
      </c>
      <c r="AU43" s="63">
        <v>138.0</v>
      </c>
      <c r="AZ43" s="63">
        <v>76.0</v>
      </c>
      <c r="BA43" s="63">
        <v>11.0</v>
      </c>
      <c r="BB43" s="63">
        <v>42.0</v>
      </c>
      <c r="BG43" s="63">
        <v>91.0</v>
      </c>
      <c r="BI43" s="63">
        <v>4.0</v>
      </c>
      <c r="BK43" s="63">
        <v>21.0</v>
      </c>
      <c r="BL43" s="63">
        <v>1.0</v>
      </c>
      <c r="BM43" s="64"/>
      <c r="BN43" s="63">
        <v>93.0</v>
      </c>
      <c r="BO43" s="63">
        <v>347.0</v>
      </c>
      <c r="BT43" s="63">
        <v>161.0</v>
      </c>
      <c r="BU43" s="63">
        <v>1.0</v>
      </c>
      <c r="BV43" s="63">
        <v>110.0</v>
      </c>
      <c r="BY43" s="63">
        <v>2.0</v>
      </c>
      <c r="CA43" s="63">
        <v>166.0</v>
      </c>
      <c r="CC43" s="63">
        <v>1.0</v>
      </c>
      <c r="CG43" s="63">
        <v>1.0</v>
      </c>
      <c r="CO43" s="63">
        <v>1.0</v>
      </c>
      <c r="CX43" s="63">
        <v>1.0</v>
      </c>
      <c r="DA43" s="63">
        <v>5.0</v>
      </c>
      <c r="DN43" s="63">
        <v>5.0</v>
      </c>
      <c r="DR43" s="63">
        <v>1.0</v>
      </c>
      <c r="EO43" s="63">
        <v>11.0</v>
      </c>
      <c r="EU43" s="63">
        <v>10.0</v>
      </c>
      <c r="FB43" s="63">
        <v>1.0</v>
      </c>
      <c r="FF43" s="63">
        <v>1.0</v>
      </c>
      <c r="FJ43" s="63">
        <v>6.0</v>
      </c>
      <c r="FK43" s="63">
        <v>1.0</v>
      </c>
      <c r="FP43" s="63">
        <v>5.0</v>
      </c>
      <c r="FW43" s="63">
        <v>2.0</v>
      </c>
      <c r="GA43" s="63">
        <v>1.0</v>
      </c>
    </row>
    <row r="44" ht="15.75" customHeight="1">
      <c r="A44" s="63" t="s">
        <v>381</v>
      </c>
      <c r="B44" s="63" t="s">
        <v>382</v>
      </c>
      <c r="C44" s="63" t="s">
        <v>383</v>
      </c>
      <c r="D44" s="63">
        <v>81230.0</v>
      </c>
      <c r="E44" s="63" t="s">
        <v>384</v>
      </c>
      <c r="F44" s="63">
        <v>15.0</v>
      </c>
      <c r="H44" s="63">
        <v>15.0</v>
      </c>
      <c r="O44" s="63">
        <v>15.0</v>
      </c>
      <c r="W44" s="64">
        <v>15.0</v>
      </c>
      <c r="AR44" s="63">
        <v>3.0</v>
      </c>
      <c r="AT44" s="63">
        <v>3.0</v>
      </c>
      <c r="BA44" s="63">
        <v>3.0</v>
      </c>
      <c r="BI44" s="63">
        <v>3.0</v>
      </c>
      <c r="BK44" s="63">
        <v>3.0</v>
      </c>
      <c r="BM44" s="64"/>
    </row>
    <row r="45" ht="15.75" customHeight="1">
      <c r="A45" s="63" t="s">
        <v>385</v>
      </c>
      <c r="B45" s="63" t="s">
        <v>386</v>
      </c>
      <c r="C45" s="63" t="s">
        <v>387</v>
      </c>
      <c r="D45" s="63">
        <v>81050.0</v>
      </c>
      <c r="E45" s="63" t="s">
        <v>388</v>
      </c>
      <c r="F45" s="63">
        <v>3.0</v>
      </c>
      <c r="H45" s="63">
        <v>312.0</v>
      </c>
      <c r="O45" s="63">
        <v>128.0</v>
      </c>
      <c r="P45" s="63">
        <v>172.0</v>
      </c>
      <c r="U45" s="63">
        <v>9.0</v>
      </c>
      <c r="W45" s="64">
        <v>3.0</v>
      </c>
      <c r="BM45" s="64"/>
    </row>
    <row r="46" ht="15.75" customHeight="1">
      <c r="A46" s="63" t="s">
        <v>389</v>
      </c>
      <c r="B46" s="63" t="s">
        <v>390</v>
      </c>
      <c r="C46" s="63" t="s">
        <v>391</v>
      </c>
      <c r="D46" s="63">
        <v>80026.0</v>
      </c>
      <c r="E46" s="63" t="s">
        <v>279</v>
      </c>
      <c r="H46" s="63">
        <v>4.0</v>
      </c>
      <c r="O46" s="63">
        <v>1.0</v>
      </c>
      <c r="P46" s="63">
        <v>3.0</v>
      </c>
      <c r="W46" s="64"/>
      <c r="BM46" s="64"/>
    </row>
    <row r="47" ht="15.75" customHeight="1">
      <c r="A47" s="63" t="s">
        <v>392</v>
      </c>
      <c r="B47" s="63" t="s">
        <v>393</v>
      </c>
      <c r="C47" s="63" t="s">
        <v>394</v>
      </c>
      <c r="D47" s="63">
        <v>81052.0</v>
      </c>
      <c r="E47" s="63" t="s">
        <v>395</v>
      </c>
      <c r="F47" s="63">
        <v>7.0</v>
      </c>
      <c r="H47" s="63">
        <v>338.0</v>
      </c>
      <c r="I47" s="63">
        <v>18.0</v>
      </c>
      <c r="M47" s="63">
        <v>22.0</v>
      </c>
      <c r="N47" s="63">
        <v>64.0</v>
      </c>
      <c r="O47" s="63">
        <v>241.0</v>
      </c>
      <c r="P47" s="63">
        <v>66.0</v>
      </c>
      <c r="U47" s="63">
        <v>6.0</v>
      </c>
      <c r="W47" s="64">
        <v>378.0</v>
      </c>
      <c r="BM47" s="64"/>
    </row>
    <row r="48" ht="15.75" customHeight="1">
      <c r="A48" s="63" t="s">
        <v>396</v>
      </c>
      <c r="B48" s="63" t="s">
        <v>397</v>
      </c>
      <c r="C48" s="63" t="s">
        <v>398</v>
      </c>
      <c r="D48" s="63">
        <v>81401.0</v>
      </c>
      <c r="E48" s="63" t="s">
        <v>399</v>
      </c>
      <c r="F48" s="63">
        <v>16.0</v>
      </c>
      <c r="H48" s="63">
        <v>409.0</v>
      </c>
      <c r="I48" s="63">
        <v>60.0</v>
      </c>
      <c r="K48" s="63">
        <v>3.0</v>
      </c>
      <c r="M48" s="63">
        <v>31.0</v>
      </c>
      <c r="N48" s="63">
        <v>186.0</v>
      </c>
      <c r="O48" s="63">
        <v>283.0</v>
      </c>
      <c r="P48" s="63">
        <v>22.0</v>
      </c>
      <c r="Q48" s="63">
        <v>2.0</v>
      </c>
      <c r="T48" s="63">
        <v>1.0</v>
      </c>
      <c r="U48" s="63">
        <v>17.0</v>
      </c>
      <c r="W48" s="64">
        <v>8.0</v>
      </c>
      <c r="AA48" s="63">
        <v>16.0</v>
      </c>
      <c r="AB48" s="63">
        <v>3.0</v>
      </c>
      <c r="AF48" s="63">
        <v>1.0</v>
      </c>
      <c r="AG48" s="63">
        <v>8.0</v>
      </c>
      <c r="AH48" s="63">
        <v>6.0</v>
      </c>
      <c r="AI48" s="63">
        <v>4.0</v>
      </c>
      <c r="AM48" s="63">
        <v>1.0</v>
      </c>
      <c r="AP48" s="63">
        <v>1.0</v>
      </c>
      <c r="AR48" s="63">
        <v>5.0</v>
      </c>
      <c r="AT48" s="63">
        <v>196.0</v>
      </c>
      <c r="AU48" s="63">
        <v>35.0</v>
      </c>
      <c r="AY48" s="63">
        <v>6.0</v>
      </c>
      <c r="AZ48" s="63">
        <v>118.0</v>
      </c>
      <c r="BA48" s="63">
        <v>21.0</v>
      </c>
      <c r="BB48" s="63">
        <v>51.0</v>
      </c>
      <c r="BG48" s="63">
        <v>42.0</v>
      </c>
      <c r="BI48" s="63">
        <v>10.0</v>
      </c>
      <c r="BK48" s="63">
        <v>14.0</v>
      </c>
      <c r="BM48" s="64"/>
      <c r="BN48" s="63">
        <v>107.0</v>
      </c>
      <c r="BO48" s="63">
        <v>14.0</v>
      </c>
      <c r="BS48" s="63">
        <v>3.0</v>
      </c>
      <c r="BT48" s="63">
        <v>87.0</v>
      </c>
      <c r="BU48" s="63">
        <v>1.0</v>
      </c>
      <c r="BV48" s="63">
        <v>13.0</v>
      </c>
      <c r="BY48" s="63">
        <v>4.0</v>
      </c>
      <c r="CA48" s="63">
        <v>14.0</v>
      </c>
      <c r="CC48" s="63">
        <v>5.0</v>
      </c>
      <c r="DA48" s="63">
        <v>3.0</v>
      </c>
      <c r="DG48" s="63">
        <v>3.0</v>
      </c>
      <c r="DR48" s="63">
        <v>12.0</v>
      </c>
      <c r="EO48" s="63">
        <v>7.0</v>
      </c>
      <c r="EU48" s="63">
        <v>5.0</v>
      </c>
      <c r="EV48" s="63">
        <v>1.0</v>
      </c>
      <c r="FD48" s="63">
        <v>1.0</v>
      </c>
      <c r="FF48" s="63">
        <v>16.0</v>
      </c>
    </row>
    <row r="49" ht="15.75" customHeight="1">
      <c r="A49" s="63" t="s">
        <v>400</v>
      </c>
      <c r="B49" s="63" t="s">
        <v>401</v>
      </c>
      <c r="C49" s="63" t="s">
        <v>402</v>
      </c>
      <c r="D49" s="63">
        <v>81067.0</v>
      </c>
      <c r="E49" s="63" t="s">
        <v>388</v>
      </c>
      <c r="H49" s="63">
        <v>318.0</v>
      </c>
      <c r="I49" s="63">
        <v>9.0</v>
      </c>
      <c r="M49" s="63">
        <v>22.0</v>
      </c>
      <c r="N49" s="63">
        <v>41.0</v>
      </c>
      <c r="O49" s="63">
        <v>116.0</v>
      </c>
      <c r="P49" s="63">
        <v>187.0</v>
      </c>
      <c r="U49" s="63">
        <v>5.0</v>
      </c>
      <c r="W49" s="64"/>
      <c r="AA49" s="63">
        <v>17.0</v>
      </c>
      <c r="AB49" s="63">
        <v>81.0</v>
      </c>
      <c r="AG49" s="63">
        <v>33.0</v>
      </c>
      <c r="AH49" s="63">
        <v>6.0</v>
      </c>
      <c r="AI49" s="63">
        <v>59.0</v>
      </c>
      <c r="BM49" s="64"/>
    </row>
    <row r="50" ht="15.75" customHeight="1">
      <c r="A50" s="63" t="s">
        <v>403</v>
      </c>
      <c r="B50" s="63" t="s">
        <v>404</v>
      </c>
      <c r="C50" s="63" t="s">
        <v>405</v>
      </c>
      <c r="D50" s="63">
        <v>81089.0</v>
      </c>
      <c r="E50" s="63" t="s">
        <v>406</v>
      </c>
      <c r="H50" s="63">
        <v>78.0</v>
      </c>
      <c r="M50" s="63">
        <v>12.0</v>
      </c>
      <c r="N50" s="63">
        <v>5.0</v>
      </c>
      <c r="O50" s="63">
        <v>46.0</v>
      </c>
      <c r="P50" s="63">
        <v>29.0</v>
      </c>
      <c r="T50" s="63">
        <v>3.0</v>
      </c>
      <c r="U50" s="63">
        <v>3.0</v>
      </c>
      <c r="V50" s="63">
        <v>1.0</v>
      </c>
      <c r="W50" s="64">
        <v>3.0</v>
      </c>
      <c r="AA50" s="63">
        <v>37.0</v>
      </c>
      <c r="AG50" s="63">
        <v>4.0</v>
      </c>
      <c r="AH50" s="63">
        <v>6.0</v>
      </c>
      <c r="AI50" s="63">
        <v>26.0</v>
      </c>
      <c r="AN50" s="63">
        <v>1.0</v>
      </c>
      <c r="BM50" s="64"/>
    </row>
    <row r="51" ht="15.75" customHeight="1">
      <c r="A51" s="63" t="s">
        <v>407</v>
      </c>
      <c r="B51" s="63" t="s">
        <v>408</v>
      </c>
      <c r="C51" s="63" t="s">
        <v>409</v>
      </c>
      <c r="D51" s="63">
        <v>80758.0</v>
      </c>
      <c r="E51" s="63" t="s">
        <v>410</v>
      </c>
      <c r="H51" s="63">
        <v>56.0</v>
      </c>
      <c r="O51" s="63">
        <v>52.0</v>
      </c>
      <c r="P51" s="63">
        <v>2.0</v>
      </c>
      <c r="U51" s="63">
        <v>2.0</v>
      </c>
      <c r="W51" s="64"/>
      <c r="BM51" s="64"/>
    </row>
    <row r="52" ht="15.75" customHeight="1">
      <c r="A52" s="63" t="s">
        <v>411</v>
      </c>
      <c r="B52" s="63" t="s">
        <v>412</v>
      </c>
      <c r="C52" s="63" t="s">
        <v>413</v>
      </c>
      <c r="D52" s="63">
        <v>80759.0</v>
      </c>
      <c r="E52" s="63" t="s">
        <v>410</v>
      </c>
      <c r="H52" s="63">
        <v>83.0</v>
      </c>
      <c r="O52" s="63">
        <v>59.0</v>
      </c>
      <c r="P52" s="63">
        <v>24.0</v>
      </c>
      <c r="W52" s="64"/>
      <c r="X52" s="63">
        <v>4.0</v>
      </c>
      <c r="BM52" s="64"/>
    </row>
    <row r="53" ht="15.75" customHeight="1">
      <c r="A53" s="63" t="s">
        <v>414</v>
      </c>
      <c r="B53" s="63" t="s">
        <v>415</v>
      </c>
      <c r="C53" s="63" t="s">
        <v>416</v>
      </c>
      <c r="D53" s="63">
        <v>81505.0</v>
      </c>
      <c r="E53" s="63" t="s">
        <v>417</v>
      </c>
      <c r="W53" s="64"/>
      <c r="AR53" s="63">
        <v>109.0</v>
      </c>
      <c r="AS53" s="63">
        <v>21.0</v>
      </c>
      <c r="AT53" s="63">
        <v>82.0</v>
      </c>
      <c r="AU53" s="63">
        <v>247.0</v>
      </c>
      <c r="AW53" s="63">
        <v>2.0</v>
      </c>
      <c r="AY53" s="63">
        <v>53.0</v>
      </c>
      <c r="AZ53" s="63">
        <v>306.0</v>
      </c>
      <c r="BA53" s="63">
        <v>2.0</v>
      </c>
      <c r="BD53" s="63">
        <v>8.0</v>
      </c>
      <c r="BE53" s="63">
        <v>61.0</v>
      </c>
      <c r="BF53" s="63">
        <v>4.0</v>
      </c>
      <c r="BG53" s="63">
        <v>9.0</v>
      </c>
      <c r="BI53" s="63">
        <v>118.0</v>
      </c>
      <c r="BJ53" s="63">
        <v>6.0</v>
      </c>
      <c r="BK53" s="63">
        <v>162.0</v>
      </c>
      <c r="BL53" s="63">
        <v>21.0</v>
      </c>
      <c r="BM53" s="64">
        <v>47.0</v>
      </c>
      <c r="BN53" s="63">
        <v>333.0</v>
      </c>
      <c r="BO53" s="63">
        <v>142.0</v>
      </c>
      <c r="BS53" s="63">
        <v>29.0</v>
      </c>
      <c r="BT53" s="63">
        <v>434.0</v>
      </c>
      <c r="BX53" s="63">
        <v>15.0</v>
      </c>
      <c r="BY53" s="63">
        <v>28.0</v>
      </c>
      <c r="BZ53" s="63">
        <v>3.0</v>
      </c>
      <c r="CA53" s="63">
        <v>2.0</v>
      </c>
      <c r="CC53" s="63">
        <v>8.0</v>
      </c>
      <c r="CD53" s="63">
        <v>49.0</v>
      </c>
    </row>
    <row r="54" ht="15.75" customHeight="1">
      <c r="A54" s="63" t="s">
        <v>418</v>
      </c>
      <c r="B54" s="63" t="s">
        <v>419</v>
      </c>
      <c r="C54" s="63" t="s">
        <v>420</v>
      </c>
      <c r="D54" s="63">
        <v>80227.0</v>
      </c>
      <c r="E54" s="63" t="s">
        <v>421</v>
      </c>
      <c r="F54" s="63">
        <v>8.0</v>
      </c>
      <c r="G54" s="63">
        <v>8.0</v>
      </c>
      <c r="H54" s="63">
        <v>27.0</v>
      </c>
      <c r="I54" s="63">
        <v>11.0</v>
      </c>
      <c r="K54" s="63">
        <v>5.0</v>
      </c>
      <c r="L54" s="63">
        <v>11.0</v>
      </c>
      <c r="N54" s="63">
        <v>28.0</v>
      </c>
      <c r="O54" s="63">
        <v>1.0</v>
      </c>
      <c r="W54" s="64">
        <v>8.0</v>
      </c>
      <c r="X54" s="63">
        <v>8.0</v>
      </c>
      <c r="AR54" s="63">
        <v>3.0</v>
      </c>
      <c r="AS54" s="63">
        <v>3.0</v>
      </c>
      <c r="AT54" s="63">
        <v>9.0</v>
      </c>
      <c r="AU54" s="63">
        <v>1.0</v>
      </c>
      <c r="AZ54" s="63">
        <v>9.0</v>
      </c>
      <c r="BI54" s="63">
        <v>2.0</v>
      </c>
      <c r="BJ54" s="63">
        <v>2.0</v>
      </c>
      <c r="BM54" s="64"/>
    </row>
    <row r="55" ht="15.75" customHeight="1">
      <c r="A55" s="63" t="s">
        <v>422</v>
      </c>
      <c r="B55" s="63" t="s">
        <v>423</v>
      </c>
      <c r="C55" s="63" t="s">
        <v>424</v>
      </c>
      <c r="D55" s="63">
        <v>81601.0</v>
      </c>
      <c r="E55" s="63" t="s">
        <v>425</v>
      </c>
      <c r="F55" s="63">
        <v>26.0</v>
      </c>
      <c r="G55" s="63">
        <v>3.0</v>
      </c>
      <c r="H55" s="63">
        <v>161.0</v>
      </c>
      <c r="I55" s="63">
        <v>124.0</v>
      </c>
      <c r="K55" s="63">
        <v>79.0</v>
      </c>
      <c r="M55" s="63">
        <v>68.0</v>
      </c>
      <c r="N55" s="63">
        <v>201.0</v>
      </c>
      <c r="O55" s="63">
        <v>138.0</v>
      </c>
      <c r="P55" s="63">
        <v>73.0</v>
      </c>
      <c r="R55" s="63">
        <v>4.0</v>
      </c>
      <c r="S55" s="63">
        <v>5.0</v>
      </c>
      <c r="U55" s="63">
        <v>18.0</v>
      </c>
      <c r="W55" s="64">
        <v>20.0</v>
      </c>
      <c r="X55" s="63">
        <v>2.0</v>
      </c>
      <c r="AA55" s="63">
        <v>16.0</v>
      </c>
      <c r="AB55" s="63">
        <v>21.0</v>
      </c>
      <c r="AD55" s="63">
        <v>11.0</v>
      </c>
      <c r="AF55" s="63">
        <v>8.0</v>
      </c>
      <c r="AG55" s="63">
        <v>46.0</v>
      </c>
      <c r="AH55" s="63">
        <v>2.0</v>
      </c>
      <c r="AI55" s="63">
        <v>5.0</v>
      </c>
      <c r="AL55" s="63">
        <v>1.0</v>
      </c>
      <c r="AN55" s="63">
        <v>2.0</v>
      </c>
      <c r="AP55" s="63">
        <v>1.0</v>
      </c>
      <c r="AR55" s="63">
        <v>42.0</v>
      </c>
      <c r="AS55" s="63">
        <v>3.0</v>
      </c>
      <c r="AT55" s="63">
        <v>130.0</v>
      </c>
      <c r="AU55" s="63">
        <v>110.0</v>
      </c>
      <c r="AW55" s="63">
        <v>30.0</v>
      </c>
      <c r="AY55" s="63">
        <v>19.0</v>
      </c>
      <c r="AZ55" s="63">
        <v>193.0</v>
      </c>
      <c r="BA55" s="63">
        <v>68.0</v>
      </c>
      <c r="BB55" s="63">
        <v>10.0</v>
      </c>
      <c r="BD55" s="63">
        <v>12.0</v>
      </c>
      <c r="BG55" s="63">
        <v>16.0</v>
      </c>
      <c r="BI55" s="63">
        <v>26.0</v>
      </c>
      <c r="BJ55" s="63">
        <v>2.0</v>
      </c>
      <c r="BK55" s="63">
        <v>28.0</v>
      </c>
      <c r="BL55" s="63">
        <v>4.0</v>
      </c>
      <c r="BM55" s="64"/>
      <c r="BN55" s="63">
        <v>87.0</v>
      </c>
      <c r="BO55" s="63">
        <v>24.0</v>
      </c>
      <c r="BQ55" s="63">
        <v>32.0</v>
      </c>
      <c r="BS55" s="63">
        <v>26.0</v>
      </c>
      <c r="BT55" s="63">
        <v>148.0</v>
      </c>
      <c r="BU55" s="63">
        <v>2.0</v>
      </c>
      <c r="BV55" s="63">
        <v>10.0</v>
      </c>
      <c r="BX55" s="63">
        <v>1.0</v>
      </c>
      <c r="BY55" s="63">
        <v>5.0</v>
      </c>
      <c r="CA55" s="63">
        <v>6.0</v>
      </c>
      <c r="CC55" s="63">
        <v>4.0</v>
      </c>
      <c r="CG55" s="63">
        <v>28.0</v>
      </c>
      <c r="CH55" s="63">
        <v>16.0</v>
      </c>
      <c r="CM55" s="63">
        <v>30.0</v>
      </c>
      <c r="CO55" s="63">
        <v>11.0</v>
      </c>
      <c r="CT55" s="63">
        <v>3.0</v>
      </c>
      <c r="CX55" s="63">
        <v>7.0</v>
      </c>
      <c r="DA55" s="63">
        <v>2.0</v>
      </c>
      <c r="DB55" s="63">
        <v>38.0</v>
      </c>
      <c r="DF55" s="63">
        <v>10.0</v>
      </c>
      <c r="DG55" s="63">
        <v>3.0</v>
      </c>
      <c r="DH55" s="63">
        <v>1.0</v>
      </c>
      <c r="DI55" s="63">
        <v>45.0</v>
      </c>
      <c r="DL55" s="63">
        <v>1.0</v>
      </c>
      <c r="DR55" s="63">
        <v>12.0</v>
      </c>
      <c r="DV55" s="63">
        <v>4.0</v>
      </c>
      <c r="EA55" s="63">
        <v>2.0</v>
      </c>
      <c r="EC55" s="63">
        <v>2.0</v>
      </c>
      <c r="EL55" s="63">
        <v>22.0</v>
      </c>
      <c r="EO55" s="63">
        <v>2.0</v>
      </c>
      <c r="EP55" s="63">
        <v>5.0</v>
      </c>
      <c r="EU55" s="63">
        <v>1.0</v>
      </c>
      <c r="EW55" s="63">
        <v>5.0</v>
      </c>
      <c r="FB55" s="63">
        <v>1.0</v>
      </c>
      <c r="FF55" s="63">
        <v>14.0</v>
      </c>
    </row>
    <row r="56" ht="15.75" customHeight="1">
      <c r="A56" s="63" t="s">
        <v>426</v>
      </c>
      <c r="B56" s="63" t="s">
        <v>427</v>
      </c>
      <c r="C56" s="63" t="s">
        <v>428</v>
      </c>
      <c r="D56" s="63">
        <v>80116.0</v>
      </c>
      <c r="E56" s="63" t="s">
        <v>235</v>
      </c>
      <c r="F56" s="63">
        <v>8.0</v>
      </c>
      <c r="G56" s="63">
        <v>8.0</v>
      </c>
      <c r="I56" s="63">
        <v>11.0</v>
      </c>
      <c r="K56" s="63">
        <v>3.0</v>
      </c>
      <c r="L56" s="63">
        <v>3.0</v>
      </c>
      <c r="N56" s="63">
        <v>22.0</v>
      </c>
      <c r="W56" s="64">
        <v>3.0</v>
      </c>
      <c r="X56" s="63">
        <v>3.0</v>
      </c>
      <c r="AB56" s="63">
        <v>5.0</v>
      </c>
      <c r="AE56" s="63">
        <v>1.0</v>
      </c>
      <c r="AG56" s="63">
        <v>6.0</v>
      </c>
      <c r="AR56" s="63">
        <v>10.0</v>
      </c>
      <c r="AS56" s="63">
        <v>10.0</v>
      </c>
      <c r="AU56" s="63">
        <v>11.0</v>
      </c>
      <c r="AW56" s="63">
        <v>127.0</v>
      </c>
      <c r="AY56" s="63">
        <v>3.0</v>
      </c>
      <c r="AZ56" s="63">
        <v>22.0</v>
      </c>
      <c r="BD56" s="63">
        <v>119.0</v>
      </c>
      <c r="BK56" s="63">
        <v>19.0</v>
      </c>
      <c r="BM56" s="64"/>
      <c r="BO56" s="63">
        <v>71.0</v>
      </c>
      <c r="BS56" s="63">
        <v>15.0</v>
      </c>
      <c r="BT56" s="63">
        <v>86.0</v>
      </c>
      <c r="CC56" s="63">
        <v>3.0</v>
      </c>
      <c r="CD56" s="63">
        <v>3.0</v>
      </c>
    </row>
    <row r="57" ht="15.75" customHeight="1">
      <c r="A57" s="63" t="s">
        <v>429</v>
      </c>
      <c r="B57" s="63" t="s">
        <v>430</v>
      </c>
      <c r="C57" s="63" t="s">
        <v>431</v>
      </c>
      <c r="D57" s="63">
        <v>80229.0</v>
      </c>
      <c r="E57" s="63" t="s">
        <v>250</v>
      </c>
      <c r="F57" s="63">
        <v>1.0</v>
      </c>
      <c r="N57" s="63">
        <v>1.0</v>
      </c>
      <c r="W57" s="64"/>
      <c r="AB57" s="63">
        <v>2.0</v>
      </c>
      <c r="AG57" s="63">
        <v>2.0</v>
      </c>
      <c r="BM57" s="64"/>
    </row>
    <row r="58" ht="15.75" customHeight="1">
      <c r="A58" s="63" t="s">
        <v>432</v>
      </c>
      <c r="B58" s="63" t="s">
        <v>433</v>
      </c>
      <c r="C58" s="63" t="s">
        <v>434</v>
      </c>
      <c r="D58" s="63">
        <v>80031.0</v>
      </c>
      <c r="E58" s="63" t="s">
        <v>250</v>
      </c>
      <c r="F58" s="63">
        <v>10.0</v>
      </c>
      <c r="G58" s="63">
        <v>10.0</v>
      </c>
      <c r="H58" s="63">
        <v>52.0</v>
      </c>
      <c r="I58" s="63">
        <v>18.0</v>
      </c>
      <c r="K58" s="63">
        <v>10.0</v>
      </c>
      <c r="L58" s="63">
        <v>50.0</v>
      </c>
      <c r="M58" s="63">
        <v>1.0</v>
      </c>
      <c r="N58" s="63">
        <v>130.0</v>
      </c>
      <c r="Q58" s="63">
        <v>1.0</v>
      </c>
      <c r="W58" s="64">
        <v>13.0</v>
      </c>
      <c r="X58" s="63">
        <v>13.0</v>
      </c>
      <c r="Y58" s="63">
        <v>1.0</v>
      </c>
      <c r="Z58" s="63">
        <v>1.0</v>
      </c>
      <c r="AE58" s="63">
        <v>3.0</v>
      </c>
      <c r="AG58" s="63">
        <v>4.0</v>
      </c>
      <c r="BM58" s="64"/>
    </row>
    <row r="59" ht="15.75" customHeight="1">
      <c r="A59" s="63" t="s">
        <v>435</v>
      </c>
      <c r="B59" s="63" t="s">
        <v>436</v>
      </c>
      <c r="C59" s="63" t="s">
        <v>437</v>
      </c>
      <c r="D59" s="63">
        <v>80113.0</v>
      </c>
      <c r="E59" s="63" t="s">
        <v>350</v>
      </c>
      <c r="G59" s="63">
        <v>9.0</v>
      </c>
      <c r="I59" s="63">
        <v>8.0</v>
      </c>
      <c r="K59" s="63">
        <v>18.0</v>
      </c>
      <c r="L59" s="63">
        <v>82.0</v>
      </c>
      <c r="M59" s="63">
        <v>10.0</v>
      </c>
      <c r="N59" s="63">
        <v>156.0</v>
      </c>
      <c r="P59" s="63">
        <v>1.0</v>
      </c>
      <c r="Q59" s="63">
        <v>1.0</v>
      </c>
      <c r="S59" s="63">
        <v>1.0</v>
      </c>
      <c r="U59" s="63">
        <v>2.0</v>
      </c>
      <c r="W59" s="64"/>
      <c r="X59" s="63">
        <v>30.0</v>
      </c>
      <c r="Z59" s="63">
        <v>13.0</v>
      </c>
      <c r="AB59" s="63">
        <v>1.0</v>
      </c>
      <c r="AD59" s="63">
        <v>37.0</v>
      </c>
      <c r="AE59" s="63">
        <v>63.0</v>
      </c>
      <c r="AG59" s="63">
        <v>100.0</v>
      </c>
      <c r="AQ59" s="63">
        <v>8.0</v>
      </c>
      <c r="BM59" s="64"/>
    </row>
    <row r="60" ht="15.75" customHeight="1">
      <c r="A60" s="63" t="s">
        <v>438</v>
      </c>
      <c r="B60" s="63" t="s">
        <v>439</v>
      </c>
      <c r="C60" s="63" t="s">
        <v>440</v>
      </c>
      <c r="D60" s="63">
        <v>80128.0</v>
      </c>
      <c r="E60" s="63" t="s">
        <v>350</v>
      </c>
      <c r="F60" s="63">
        <v>18.0</v>
      </c>
      <c r="G60" s="63">
        <v>18.0</v>
      </c>
      <c r="I60" s="63">
        <v>152.0</v>
      </c>
      <c r="K60" s="63">
        <v>2.0</v>
      </c>
      <c r="N60" s="63">
        <v>155.0</v>
      </c>
      <c r="S60" s="63">
        <v>1.0</v>
      </c>
      <c r="U60" s="63">
        <v>3.0</v>
      </c>
      <c r="W60" s="64">
        <v>13.0</v>
      </c>
      <c r="X60" s="63">
        <v>13.0</v>
      </c>
      <c r="AB60" s="63">
        <v>9.0</v>
      </c>
      <c r="AP60" s="63">
        <v>9.0</v>
      </c>
      <c r="AQ60" s="63">
        <v>9.0</v>
      </c>
      <c r="BM60" s="64"/>
    </row>
    <row r="61" ht="15.75" customHeight="1">
      <c r="A61" s="63" t="s">
        <v>441</v>
      </c>
      <c r="B61" s="63" t="s">
        <v>442</v>
      </c>
      <c r="C61" s="63" t="s">
        <v>443</v>
      </c>
      <c r="D61" s="63">
        <v>80020.0</v>
      </c>
      <c r="E61" s="63" t="s">
        <v>444</v>
      </c>
      <c r="W61" s="64"/>
      <c r="BM61" s="64"/>
      <c r="EM61" s="63">
        <v>123.0</v>
      </c>
      <c r="EN61" s="63">
        <v>106.0</v>
      </c>
      <c r="EO61" s="63">
        <v>17.0</v>
      </c>
      <c r="EP61" s="63">
        <v>38.0</v>
      </c>
      <c r="ER61" s="63">
        <v>37.0</v>
      </c>
      <c r="ES61" s="63">
        <v>5.0</v>
      </c>
      <c r="EU61" s="63">
        <v>80.0</v>
      </c>
      <c r="EZ61" s="63">
        <v>20.0</v>
      </c>
      <c r="FD61" s="63">
        <v>124.0</v>
      </c>
      <c r="FE61" s="63">
        <v>102.0</v>
      </c>
    </row>
    <row r="62" ht="15.75" customHeight="1">
      <c r="A62" s="63" t="s">
        <v>445</v>
      </c>
      <c r="B62" s="63" t="s">
        <v>446</v>
      </c>
      <c r="C62" s="63" t="s">
        <v>447</v>
      </c>
      <c r="D62" s="63">
        <v>80017.0</v>
      </c>
      <c r="E62" s="63" t="s">
        <v>350</v>
      </c>
      <c r="F62" s="63">
        <v>27.0</v>
      </c>
      <c r="G62" s="63">
        <v>27.0</v>
      </c>
      <c r="I62" s="63">
        <v>8.0</v>
      </c>
      <c r="K62" s="63">
        <v>4.0</v>
      </c>
      <c r="L62" s="63">
        <v>2.0</v>
      </c>
      <c r="N62" s="63">
        <v>22.0</v>
      </c>
      <c r="R62" s="63">
        <v>18.0</v>
      </c>
      <c r="S62" s="63">
        <v>1.0</v>
      </c>
      <c r="U62" s="63">
        <v>1.0</v>
      </c>
      <c r="W62" s="64">
        <v>16.0</v>
      </c>
      <c r="X62" s="63">
        <v>16.0</v>
      </c>
      <c r="AO62" s="63">
        <v>1.0</v>
      </c>
      <c r="BM62" s="64"/>
    </row>
    <row r="63" ht="15.75" customHeight="1">
      <c r="A63" s="63" t="s">
        <v>448</v>
      </c>
      <c r="B63" s="63" t="s">
        <v>449</v>
      </c>
      <c r="C63" s="63" t="s">
        <v>450</v>
      </c>
      <c r="D63" s="63">
        <v>80007.0</v>
      </c>
      <c r="E63" s="63" t="s">
        <v>239</v>
      </c>
      <c r="F63" s="63">
        <v>8.0</v>
      </c>
      <c r="G63" s="63">
        <v>8.0</v>
      </c>
      <c r="H63" s="63">
        <v>2.0</v>
      </c>
      <c r="I63" s="63">
        <v>21.0</v>
      </c>
      <c r="K63" s="63">
        <v>26.0</v>
      </c>
      <c r="L63" s="63">
        <v>24.0</v>
      </c>
      <c r="M63" s="63">
        <v>2.0</v>
      </c>
      <c r="N63" s="63">
        <v>74.0</v>
      </c>
      <c r="U63" s="63">
        <v>2.0</v>
      </c>
      <c r="W63" s="64">
        <v>7.0</v>
      </c>
      <c r="X63" s="63">
        <v>7.0</v>
      </c>
      <c r="AB63" s="63">
        <v>3.0</v>
      </c>
      <c r="AD63" s="63">
        <v>3.0</v>
      </c>
      <c r="AE63" s="63">
        <v>1.0</v>
      </c>
      <c r="AG63" s="63">
        <v>7.0</v>
      </c>
      <c r="BM63" s="64"/>
    </row>
    <row r="64" ht="15.75" customHeight="1">
      <c r="A64" s="63" t="s">
        <v>451</v>
      </c>
      <c r="B64" s="63" t="s">
        <v>452</v>
      </c>
      <c r="C64" s="63" t="s">
        <v>453</v>
      </c>
      <c r="D64" s="63">
        <v>80136.0</v>
      </c>
      <c r="E64" s="63" t="s">
        <v>250</v>
      </c>
      <c r="G64" s="63">
        <v>36.0</v>
      </c>
      <c r="I64" s="63">
        <v>50.0</v>
      </c>
      <c r="K64" s="63">
        <v>12.0</v>
      </c>
      <c r="L64" s="63">
        <v>11.0</v>
      </c>
      <c r="M64" s="63">
        <v>8.0</v>
      </c>
      <c r="N64" s="63">
        <v>81.0</v>
      </c>
      <c r="T64" s="63">
        <v>2.0</v>
      </c>
      <c r="U64" s="63">
        <v>8.0</v>
      </c>
      <c r="W64" s="64"/>
      <c r="X64" s="63">
        <v>27.0</v>
      </c>
      <c r="AF64" s="63">
        <v>6.0</v>
      </c>
      <c r="AQ64" s="63">
        <v>6.0</v>
      </c>
      <c r="BM64" s="64"/>
    </row>
    <row r="65" ht="15.75" customHeight="1">
      <c r="A65" s="63" t="s">
        <v>454</v>
      </c>
      <c r="B65" s="63" t="s">
        <v>455</v>
      </c>
      <c r="C65" s="63" t="s">
        <v>456</v>
      </c>
      <c r="D65" s="63">
        <v>80015.0</v>
      </c>
      <c r="E65" s="63" t="s">
        <v>350</v>
      </c>
      <c r="W65" s="64"/>
      <c r="Z65" s="63">
        <v>3.0</v>
      </c>
      <c r="AD65" s="63">
        <v>11.0</v>
      </c>
      <c r="AE65" s="63">
        <v>1263.0</v>
      </c>
      <c r="AG65" s="63">
        <v>1213.0</v>
      </c>
      <c r="AJ65" s="63">
        <v>26.0</v>
      </c>
      <c r="AL65" s="63">
        <v>18.0</v>
      </c>
      <c r="AN65" s="63">
        <v>14.0</v>
      </c>
      <c r="AQ65" s="63">
        <v>2.0</v>
      </c>
      <c r="BM65" s="64"/>
    </row>
    <row r="66" ht="15.75" customHeight="1">
      <c r="A66" s="63" t="s">
        <v>457</v>
      </c>
      <c r="B66" s="63" t="s">
        <v>458</v>
      </c>
      <c r="C66" s="63" t="s">
        <v>459</v>
      </c>
      <c r="D66" s="63">
        <v>80504.0</v>
      </c>
      <c r="E66" s="63" t="s">
        <v>258</v>
      </c>
      <c r="W66" s="64"/>
      <c r="BM66" s="64"/>
      <c r="DS66" s="63">
        <v>122.0</v>
      </c>
      <c r="DT66" s="63">
        <v>16.0</v>
      </c>
      <c r="DU66" s="63">
        <v>22.0</v>
      </c>
      <c r="DV66" s="63">
        <v>68.0</v>
      </c>
      <c r="DX66" s="63">
        <v>9.0</v>
      </c>
      <c r="EA66" s="63">
        <v>28.0</v>
      </c>
      <c r="EB66" s="63">
        <v>4.0</v>
      </c>
      <c r="EF66" s="63">
        <v>4.0</v>
      </c>
      <c r="EG66" s="63">
        <v>1.0</v>
      </c>
      <c r="EJ66" s="63">
        <v>197.0</v>
      </c>
      <c r="EK66" s="63">
        <v>12.0</v>
      </c>
      <c r="EL66" s="63">
        <v>331.0</v>
      </c>
    </row>
    <row r="67" ht="15.75" customHeight="1">
      <c r="A67" s="63" t="s">
        <v>460</v>
      </c>
      <c r="B67" s="63" t="s">
        <v>461</v>
      </c>
      <c r="C67" s="63" t="s">
        <v>462</v>
      </c>
      <c r="D67" s="63">
        <v>80537.0</v>
      </c>
      <c r="E67" s="63" t="s">
        <v>275</v>
      </c>
      <c r="G67" s="63">
        <v>25.0</v>
      </c>
      <c r="I67" s="63">
        <v>18.0</v>
      </c>
      <c r="K67" s="63">
        <v>13.0</v>
      </c>
      <c r="L67" s="63">
        <v>13.0</v>
      </c>
      <c r="M67" s="63">
        <v>11.0</v>
      </c>
      <c r="N67" s="63">
        <v>40.0</v>
      </c>
      <c r="S67" s="63">
        <v>11.0</v>
      </c>
      <c r="W67" s="64"/>
      <c r="X67" s="63">
        <v>29.0</v>
      </c>
      <c r="BM67" s="64"/>
    </row>
    <row r="68" ht="15.75" customHeight="1">
      <c r="A68" s="63" t="s">
        <v>463</v>
      </c>
      <c r="B68" s="63" t="s">
        <v>464</v>
      </c>
      <c r="C68" s="63" t="s">
        <v>465</v>
      </c>
      <c r="D68" s="63">
        <v>80113.0</v>
      </c>
      <c r="E68" s="63" t="s">
        <v>350</v>
      </c>
      <c r="F68" s="63">
        <v>1.0</v>
      </c>
      <c r="G68" s="63">
        <v>1.0</v>
      </c>
      <c r="H68" s="63">
        <v>1.0</v>
      </c>
      <c r="I68" s="63">
        <v>10.0</v>
      </c>
      <c r="K68" s="63">
        <v>2.0</v>
      </c>
      <c r="L68" s="63">
        <v>13.0</v>
      </c>
      <c r="N68" s="63">
        <v>23.0</v>
      </c>
      <c r="U68" s="63">
        <v>3.0</v>
      </c>
      <c r="W68" s="64">
        <v>1.0</v>
      </c>
      <c r="X68" s="63">
        <v>1.0</v>
      </c>
      <c r="BM68" s="64"/>
    </row>
    <row r="69" ht="15.75" customHeight="1">
      <c r="A69" s="63" t="s">
        <v>466</v>
      </c>
      <c r="B69" s="63" t="s">
        <v>467</v>
      </c>
      <c r="C69" s="63" t="s">
        <v>468</v>
      </c>
      <c r="D69" s="63">
        <v>80907.0</v>
      </c>
      <c r="E69" s="63" t="s">
        <v>243</v>
      </c>
      <c r="G69" s="63">
        <v>66.0</v>
      </c>
      <c r="I69" s="63">
        <v>19.0</v>
      </c>
      <c r="K69" s="63">
        <v>49.0</v>
      </c>
      <c r="N69" s="63">
        <v>95.0</v>
      </c>
      <c r="O69" s="63">
        <v>6.0</v>
      </c>
      <c r="S69" s="63">
        <v>2.0</v>
      </c>
      <c r="W69" s="64"/>
      <c r="X69" s="63">
        <v>31.0</v>
      </c>
      <c r="Z69" s="63">
        <v>2.0</v>
      </c>
      <c r="AD69" s="63">
        <v>30.0</v>
      </c>
      <c r="AG69" s="63">
        <v>3.0</v>
      </c>
      <c r="AQ69" s="63">
        <v>29.0</v>
      </c>
      <c r="BM69" s="64"/>
    </row>
    <row r="70" ht="15.75" customHeight="1">
      <c r="A70" s="63" t="s">
        <v>469</v>
      </c>
      <c r="B70" s="63" t="s">
        <v>470</v>
      </c>
      <c r="C70" s="63" t="s">
        <v>471</v>
      </c>
      <c r="D70" s="63">
        <v>80524.0</v>
      </c>
      <c r="E70" s="63" t="s">
        <v>275</v>
      </c>
      <c r="G70" s="63">
        <v>11.0</v>
      </c>
      <c r="H70" s="63">
        <v>1.0</v>
      </c>
      <c r="I70" s="63">
        <v>27.0</v>
      </c>
      <c r="L70" s="63">
        <v>5.0</v>
      </c>
      <c r="N70" s="63">
        <v>30.0</v>
      </c>
      <c r="U70" s="63">
        <v>1.0</v>
      </c>
      <c r="W70" s="64"/>
      <c r="X70" s="63">
        <v>13.0</v>
      </c>
      <c r="AA70" s="63">
        <v>1.0</v>
      </c>
      <c r="AB70" s="63">
        <v>2.0</v>
      </c>
      <c r="AG70" s="63">
        <v>3.0</v>
      </c>
      <c r="BM70" s="64"/>
    </row>
    <row r="71" ht="15.75" customHeight="1">
      <c r="A71" s="63" t="s">
        <v>472</v>
      </c>
      <c r="B71" s="63" t="s">
        <v>473</v>
      </c>
      <c r="C71" s="63" t="s">
        <v>474</v>
      </c>
      <c r="D71" s="63">
        <v>80214.0</v>
      </c>
      <c r="E71" s="63" t="s">
        <v>239</v>
      </c>
      <c r="W71" s="64"/>
      <c r="AS71" s="63">
        <v>3.0</v>
      </c>
      <c r="AT71" s="63">
        <v>10.0</v>
      </c>
      <c r="AU71" s="63">
        <v>19.0</v>
      </c>
      <c r="AW71" s="63">
        <v>89.0</v>
      </c>
      <c r="AX71" s="63">
        <v>2.0</v>
      </c>
      <c r="AY71" s="63">
        <v>24.0</v>
      </c>
      <c r="AZ71" s="63">
        <v>121.0</v>
      </c>
      <c r="BB71" s="63">
        <v>12.0</v>
      </c>
      <c r="BD71" s="63">
        <v>4.0</v>
      </c>
      <c r="BE71" s="63">
        <v>1.0</v>
      </c>
      <c r="BG71" s="63">
        <v>1.0</v>
      </c>
      <c r="BJ71" s="63">
        <v>9.0</v>
      </c>
      <c r="BK71" s="63">
        <v>43.6</v>
      </c>
      <c r="BM71" s="64">
        <v>5.0</v>
      </c>
      <c r="BN71" s="63">
        <v>13.0</v>
      </c>
      <c r="BO71" s="63">
        <v>4.0</v>
      </c>
      <c r="BQ71" s="63">
        <v>120.0</v>
      </c>
      <c r="BR71" s="63">
        <v>2.0</v>
      </c>
      <c r="BS71" s="63">
        <v>42.0</v>
      </c>
      <c r="BT71" s="63">
        <v>154.0</v>
      </c>
      <c r="BV71" s="63">
        <v>3.0</v>
      </c>
      <c r="BY71" s="63">
        <v>17.0</v>
      </c>
      <c r="CA71" s="63">
        <v>3.0</v>
      </c>
      <c r="CD71" s="63">
        <v>8.0</v>
      </c>
    </row>
    <row r="72" ht="15.75" customHeight="1">
      <c r="A72" s="63" t="s">
        <v>475</v>
      </c>
      <c r="B72" s="63" t="s">
        <v>476</v>
      </c>
      <c r="C72" s="63" t="s">
        <v>477</v>
      </c>
      <c r="D72" s="63">
        <v>81054.0</v>
      </c>
      <c r="E72" s="63" t="s">
        <v>478</v>
      </c>
      <c r="F72" s="63">
        <v>6.0</v>
      </c>
      <c r="H72" s="63">
        <v>78.0</v>
      </c>
      <c r="I72" s="63">
        <v>2.0</v>
      </c>
      <c r="N72" s="63">
        <v>20.0</v>
      </c>
      <c r="O72" s="63">
        <v>29.0</v>
      </c>
      <c r="P72" s="63">
        <v>5.0</v>
      </c>
      <c r="U72" s="63">
        <v>26.0</v>
      </c>
      <c r="W72" s="64"/>
      <c r="BM72" s="64"/>
    </row>
    <row r="73" ht="15.75" customHeight="1">
      <c r="A73" s="63" t="s">
        <v>479</v>
      </c>
      <c r="B73" s="63" t="s">
        <v>480</v>
      </c>
      <c r="C73" s="63" t="s">
        <v>481</v>
      </c>
      <c r="D73" s="63">
        <v>80436.0</v>
      </c>
      <c r="E73" s="63" t="s">
        <v>482</v>
      </c>
      <c r="F73" s="63">
        <v>15.0</v>
      </c>
      <c r="G73" s="63">
        <v>3.0</v>
      </c>
      <c r="H73" s="63">
        <v>168.0</v>
      </c>
      <c r="I73" s="63">
        <v>50.0</v>
      </c>
      <c r="K73" s="63">
        <v>3.0</v>
      </c>
      <c r="L73" s="63">
        <v>74.0</v>
      </c>
      <c r="M73" s="63">
        <v>35.0</v>
      </c>
      <c r="N73" s="63">
        <v>132.0</v>
      </c>
      <c r="O73" s="63">
        <v>160.0</v>
      </c>
      <c r="P73" s="63">
        <v>18.0</v>
      </c>
      <c r="V73" s="63">
        <v>1.0</v>
      </c>
      <c r="W73" s="64">
        <v>23.0</v>
      </c>
      <c r="X73" s="63">
        <v>14.0</v>
      </c>
      <c r="AR73" s="63">
        <v>25.0</v>
      </c>
      <c r="AS73" s="63">
        <v>1.0</v>
      </c>
      <c r="AT73" s="63">
        <v>40.0</v>
      </c>
      <c r="AU73" s="63">
        <v>17.0</v>
      </c>
      <c r="AZ73" s="63">
        <v>47.0</v>
      </c>
      <c r="BA73" s="63">
        <v>7.0</v>
      </c>
      <c r="BI73" s="63">
        <v>26.0</v>
      </c>
      <c r="BJ73" s="63">
        <v>2.0</v>
      </c>
      <c r="BK73" s="63">
        <v>200.0</v>
      </c>
      <c r="BM73" s="64"/>
      <c r="BN73" s="63">
        <v>7.0</v>
      </c>
      <c r="BV73" s="63">
        <v>7.0</v>
      </c>
    </row>
    <row r="74" ht="15.75" customHeight="1">
      <c r="A74" s="63" t="s">
        <v>483</v>
      </c>
      <c r="B74" s="63" t="s">
        <v>484</v>
      </c>
      <c r="C74" s="63" t="s">
        <v>485</v>
      </c>
      <c r="D74" s="63">
        <v>80421.0</v>
      </c>
      <c r="E74" s="63" t="s">
        <v>486</v>
      </c>
      <c r="F74" s="63">
        <v>77.0</v>
      </c>
      <c r="H74" s="63">
        <v>77.0</v>
      </c>
      <c r="O74" s="63">
        <v>66.0</v>
      </c>
      <c r="P74" s="63">
        <v>8.0</v>
      </c>
      <c r="R74" s="63">
        <v>77.0</v>
      </c>
      <c r="S74" s="63">
        <v>1.0</v>
      </c>
      <c r="U74" s="63">
        <v>1.0</v>
      </c>
      <c r="V74" s="63">
        <v>1.0</v>
      </c>
      <c r="W74" s="64">
        <v>77.0</v>
      </c>
      <c r="Y74" s="63">
        <v>1.0</v>
      </c>
      <c r="AA74" s="63">
        <v>1.0</v>
      </c>
      <c r="AL74" s="63">
        <v>1.0</v>
      </c>
      <c r="AP74" s="63">
        <v>1.0</v>
      </c>
      <c r="AR74" s="63">
        <v>7.0</v>
      </c>
      <c r="AT74" s="63">
        <v>7.0</v>
      </c>
      <c r="AZ74" s="63">
        <v>2.0</v>
      </c>
      <c r="BB74" s="63">
        <v>2.0</v>
      </c>
      <c r="BG74" s="63">
        <v>5.0</v>
      </c>
      <c r="BI74" s="63">
        <v>7.0</v>
      </c>
      <c r="BK74" s="63">
        <v>5.0</v>
      </c>
      <c r="BL74" s="63">
        <v>1.0</v>
      </c>
      <c r="BM74" s="64"/>
      <c r="BN74" s="63">
        <v>1.0</v>
      </c>
      <c r="BT74" s="63">
        <v>1.0</v>
      </c>
      <c r="BV74" s="63">
        <v>1.0</v>
      </c>
      <c r="CC74" s="63">
        <v>1.0</v>
      </c>
      <c r="CE74" s="63">
        <v>1.0</v>
      </c>
      <c r="CH74" s="63">
        <v>1.0</v>
      </c>
      <c r="CM74" s="63">
        <v>1.0</v>
      </c>
      <c r="CV74" s="63">
        <v>1.0</v>
      </c>
      <c r="CX74" s="63">
        <v>5.0</v>
      </c>
      <c r="DS74" s="63">
        <v>6.0</v>
      </c>
      <c r="DV74" s="63">
        <v>6.0</v>
      </c>
      <c r="EA74" s="63">
        <v>6.0</v>
      </c>
      <c r="EJ74" s="63">
        <v>6.0</v>
      </c>
      <c r="EL74" s="63">
        <v>5.0</v>
      </c>
      <c r="FG74" s="63">
        <v>1.0</v>
      </c>
      <c r="FK74" s="63">
        <v>1.0</v>
      </c>
      <c r="FP74" s="63">
        <v>1.0</v>
      </c>
      <c r="FY74" s="63">
        <v>1.0</v>
      </c>
      <c r="GA74" s="63">
        <v>5.0</v>
      </c>
    </row>
    <row r="75" ht="15.75" customHeight="1">
      <c r="A75" s="63" t="s">
        <v>487</v>
      </c>
      <c r="B75" s="63" t="s">
        <v>488</v>
      </c>
      <c r="C75" s="63" t="s">
        <v>489</v>
      </c>
      <c r="D75" s="63">
        <v>80813.0</v>
      </c>
      <c r="E75" s="63" t="s">
        <v>254</v>
      </c>
      <c r="H75" s="63">
        <v>47.0</v>
      </c>
      <c r="I75" s="63">
        <v>19.0</v>
      </c>
      <c r="M75" s="63">
        <v>10.0</v>
      </c>
      <c r="N75" s="63">
        <v>27.0</v>
      </c>
      <c r="O75" s="63">
        <v>38.0</v>
      </c>
      <c r="P75" s="63">
        <v>5.0</v>
      </c>
      <c r="R75" s="63">
        <v>4.0</v>
      </c>
      <c r="W75" s="64">
        <v>2.0</v>
      </c>
      <c r="Y75" s="63">
        <v>1.0</v>
      </c>
      <c r="AF75" s="63">
        <v>1.0</v>
      </c>
      <c r="AG75" s="63">
        <v>2.0</v>
      </c>
      <c r="AR75" s="63">
        <v>1.0</v>
      </c>
      <c r="AY75" s="63">
        <v>1.0</v>
      </c>
      <c r="BA75" s="63">
        <v>1.0</v>
      </c>
      <c r="BI75" s="63">
        <v>1.0</v>
      </c>
      <c r="BK75" s="63">
        <v>7.0</v>
      </c>
      <c r="BM75" s="64"/>
    </row>
    <row r="76" ht="15.75" customHeight="1">
      <c r="A76" s="63" t="s">
        <v>490</v>
      </c>
      <c r="B76" s="63" t="s">
        <v>491</v>
      </c>
      <c r="C76" s="63" t="s">
        <v>492</v>
      </c>
      <c r="D76" s="63">
        <v>80526.0</v>
      </c>
      <c r="E76" s="63" t="s">
        <v>275</v>
      </c>
      <c r="G76" s="63">
        <v>15.0</v>
      </c>
      <c r="I76" s="63">
        <v>3.0</v>
      </c>
      <c r="K76" s="63">
        <v>10.0</v>
      </c>
      <c r="L76" s="63">
        <v>10.0</v>
      </c>
      <c r="N76" s="63">
        <v>73.0</v>
      </c>
      <c r="S76" s="63">
        <v>1.0</v>
      </c>
      <c r="W76" s="64"/>
      <c r="X76" s="63">
        <v>19.0</v>
      </c>
      <c r="AE76" s="63">
        <v>10.0</v>
      </c>
      <c r="AG76" s="63">
        <v>10.0</v>
      </c>
      <c r="BM76" s="64"/>
    </row>
    <row r="77" ht="15.75" customHeight="1">
      <c r="A77" s="63" t="s">
        <v>493</v>
      </c>
      <c r="B77" s="63" t="s">
        <v>494</v>
      </c>
      <c r="C77" s="63" t="s">
        <v>495</v>
      </c>
      <c r="D77" s="63">
        <v>80643.0</v>
      </c>
      <c r="E77" s="63" t="s">
        <v>258</v>
      </c>
      <c r="F77" s="63">
        <v>4.0</v>
      </c>
      <c r="I77" s="63">
        <v>6.0</v>
      </c>
      <c r="K77" s="63">
        <v>25.0</v>
      </c>
      <c r="L77" s="63">
        <v>112.0</v>
      </c>
      <c r="N77" s="63">
        <v>99.0</v>
      </c>
      <c r="W77" s="64">
        <v>35.0</v>
      </c>
      <c r="X77" s="63">
        <v>10.0</v>
      </c>
      <c r="AB77" s="63">
        <v>12.0</v>
      </c>
      <c r="AD77" s="63">
        <v>3.0</v>
      </c>
      <c r="AE77" s="63">
        <v>33.0</v>
      </c>
      <c r="AG77" s="63">
        <v>48.0</v>
      </c>
      <c r="AL77" s="63">
        <v>2.0</v>
      </c>
      <c r="AP77" s="63">
        <v>3.0</v>
      </c>
      <c r="BM77" s="64"/>
      <c r="FM77" s="63">
        <v>2.0</v>
      </c>
      <c r="FP77" s="63">
        <v>2.0</v>
      </c>
      <c r="GA77" s="63">
        <v>45.0</v>
      </c>
    </row>
    <row r="78" ht="15.75" customHeight="1">
      <c r="A78" s="63" t="s">
        <v>496</v>
      </c>
      <c r="B78" s="63" t="s">
        <v>497</v>
      </c>
      <c r="C78" s="63" t="s">
        <v>498</v>
      </c>
      <c r="D78" s="63">
        <v>81321.0</v>
      </c>
      <c r="E78" s="63" t="s">
        <v>380</v>
      </c>
      <c r="F78" s="63">
        <v>61.0</v>
      </c>
      <c r="H78" s="63">
        <v>1.0</v>
      </c>
      <c r="N78" s="63">
        <v>1.0</v>
      </c>
      <c r="S78" s="63">
        <v>10.0</v>
      </c>
      <c r="W78" s="64">
        <v>51.0</v>
      </c>
      <c r="BM78" s="64"/>
    </row>
    <row r="79" ht="15.75" customHeight="1">
      <c r="A79" s="63" t="s">
        <v>499</v>
      </c>
      <c r="B79" s="63" t="s">
        <v>500</v>
      </c>
      <c r="C79" s="63" t="s">
        <v>501</v>
      </c>
      <c r="D79" s="63">
        <v>81416.0</v>
      </c>
      <c r="E79" s="63" t="s">
        <v>323</v>
      </c>
      <c r="F79" s="63">
        <v>11.0</v>
      </c>
      <c r="G79" s="63">
        <v>1.0</v>
      </c>
      <c r="H79" s="63">
        <v>68.0</v>
      </c>
      <c r="I79" s="63">
        <v>18.0</v>
      </c>
      <c r="M79" s="63">
        <v>6.0</v>
      </c>
      <c r="N79" s="63">
        <v>87.0</v>
      </c>
      <c r="O79" s="63">
        <v>6.0</v>
      </c>
      <c r="S79" s="63">
        <v>1.0</v>
      </c>
      <c r="U79" s="63">
        <v>2.0</v>
      </c>
      <c r="W79" s="64">
        <v>7.0</v>
      </c>
      <c r="X79" s="63">
        <v>1.0</v>
      </c>
      <c r="Y79" s="63">
        <v>1.0</v>
      </c>
      <c r="Z79" s="63">
        <v>13.0</v>
      </c>
      <c r="AA79" s="63">
        <v>22.0</v>
      </c>
      <c r="AB79" s="63">
        <v>1.0</v>
      </c>
      <c r="AG79" s="63">
        <v>17.0</v>
      </c>
      <c r="AH79" s="63">
        <v>3.0</v>
      </c>
      <c r="AL79" s="63">
        <v>3.0</v>
      </c>
      <c r="AM79" s="63">
        <v>1.0</v>
      </c>
      <c r="AP79" s="63">
        <v>3.0</v>
      </c>
      <c r="AQ79" s="63">
        <v>10.0</v>
      </c>
      <c r="AR79" s="63">
        <v>6.0</v>
      </c>
      <c r="AT79" s="63">
        <v>24.0</v>
      </c>
      <c r="AU79" s="63">
        <v>12.0</v>
      </c>
      <c r="AW79" s="63">
        <v>1.0</v>
      </c>
      <c r="AZ79" s="63">
        <v>32.0</v>
      </c>
      <c r="BA79" s="63">
        <v>1.0</v>
      </c>
      <c r="BG79" s="63">
        <v>1.0</v>
      </c>
      <c r="BI79" s="63">
        <v>8.0</v>
      </c>
      <c r="BJ79" s="63">
        <v>1.0</v>
      </c>
      <c r="BK79" s="63">
        <v>30.0</v>
      </c>
      <c r="BL79" s="63">
        <v>2.0</v>
      </c>
      <c r="BM79" s="64">
        <v>19.0</v>
      </c>
      <c r="BN79" s="63">
        <v>104.0</v>
      </c>
      <c r="BO79" s="63">
        <v>1.0</v>
      </c>
      <c r="BT79" s="63">
        <v>60.0</v>
      </c>
      <c r="BV79" s="63">
        <v>28.0</v>
      </c>
      <c r="BY79" s="63">
        <v>24.0</v>
      </c>
      <c r="CC79" s="63">
        <v>2.0</v>
      </c>
      <c r="CD79" s="63">
        <v>6.0</v>
      </c>
    </row>
    <row r="80" ht="15.75" customHeight="1">
      <c r="A80" s="63" t="s">
        <v>502</v>
      </c>
      <c r="B80" s="63" t="s">
        <v>503</v>
      </c>
      <c r="C80" s="63" t="s">
        <v>504</v>
      </c>
      <c r="D80" s="63">
        <v>81416.0</v>
      </c>
      <c r="E80" s="63" t="s">
        <v>323</v>
      </c>
      <c r="F80" s="63">
        <v>3.0</v>
      </c>
      <c r="G80" s="63">
        <v>3.0</v>
      </c>
      <c r="H80" s="63">
        <v>23.0</v>
      </c>
      <c r="I80" s="63">
        <v>29.0</v>
      </c>
      <c r="K80" s="63">
        <v>10.0</v>
      </c>
      <c r="M80" s="63">
        <v>7.0</v>
      </c>
      <c r="N80" s="63">
        <v>41.0</v>
      </c>
      <c r="O80" s="63">
        <v>16.0</v>
      </c>
      <c r="P80" s="63">
        <v>10.0</v>
      </c>
      <c r="W80" s="64">
        <v>5.0</v>
      </c>
      <c r="X80" s="63">
        <v>5.0</v>
      </c>
      <c r="AB80" s="63">
        <v>11.0</v>
      </c>
      <c r="AG80" s="63">
        <v>11.0</v>
      </c>
      <c r="AR80" s="63">
        <v>10.0</v>
      </c>
      <c r="AS80" s="63">
        <v>10.0</v>
      </c>
      <c r="AT80" s="63">
        <v>3.0</v>
      </c>
      <c r="AW80" s="63">
        <v>7.0</v>
      </c>
      <c r="AZ80" s="63">
        <v>2.0</v>
      </c>
      <c r="BI80" s="63">
        <v>18.0</v>
      </c>
      <c r="BJ80" s="63">
        <v>18.0</v>
      </c>
      <c r="BK80" s="63">
        <v>106.0</v>
      </c>
      <c r="BL80" s="63">
        <v>10.0</v>
      </c>
      <c r="BM80" s="64">
        <v>10.0</v>
      </c>
      <c r="BN80" s="63">
        <v>46.0</v>
      </c>
      <c r="BT80" s="63">
        <v>46.0</v>
      </c>
      <c r="CC80" s="63">
        <v>10.0</v>
      </c>
      <c r="CD80" s="63">
        <v>10.0</v>
      </c>
      <c r="CE80" s="63">
        <v>1.0</v>
      </c>
      <c r="CF80" s="63">
        <v>1.0</v>
      </c>
      <c r="CG80" s="63">
        <v>15.0</v>
      </c>
      <c r="CQ80" s="63">
        <v>10.0</v>
      </c>
      <c r="CR80" s="63">
        <v>2.0</v>
      </c>
      <c r="CV80" s="63">
        <v>4.0</v>
      </c>
      <c r="CW80" s="63">
        <v>4.0</v>
      </c>
      <c r="CX80" s="63">
        <v>62.0</v>
      </c>
    </row>
    <row r="81" ht="15.75" customHeight="1">
      <c r="A81" s="63" t="s">
        <v>505</v>
      </c>
      <c r="B81" s="63" t="s">
        <v>506</v>
      </c>
      <c r="C81" s="63" t="s">
        <v>507</v>
      </c>
      <c r="D81" s="63">
        <v>80016.0</v>
      </c>
      <c r="E81" s="63" t="s">
        <v>350</v>
      </c>
      <c r="G81" s="63">
        <v>1.0</v>
      </c>
      <c r="L81" s="63">
        <v>12.0</v>
      </c>
      <c r="N81" s="63">
        <v>10.0</v>
      </c>
      <c r="P81" s="63">
        <v>1.0</v>
      </c>
      <c r="W81" s="64"/>
      <c r="X81" s="63">
        <v>2.0</v>
      </c>
      <c r="AE81" s="63">
        <v>4.0</v>
      </c>
      <c r="AG81" s="63">
        <v>4.0</v>
      </c>
      <c r="AS81" s="63">
        <v>6.0</v>
      </c>
      <c r="AT81" s="63">
        <v>1.0</v>
      </c>
      <c r="AU81" s="63">
        <v>2.0</v>
      </c>
      <c r="AW81" s="63">
        <v>11.0</v>
      </c>
      <c r="AX81" s="63">
        <v>2.0</v>
      </c>
      <c r="AZ81" s="63">
        <v>16.0</v>
      </c>
      <c r="BJ81" s="63">
        <v>6.0</v>
      </c>
      <c r="BK81" s="63">
        <v>106.07</v>
      </c>
      <c r="BM81" s="64">
        <v>1.0</v>
      </c>
      <c r="BN81" s="63">
        <v>1.0</v>
      </c>
      <c r="BQ81" s="63">
        <v>10.0</v>
      </c>
      <c r="BR81" s="63">
        <v>1.0</v>
      </c>
      <c r="BS81" s="63">
        <v>3.0</v>
      </c>
      <c r="BT81" s="63">
        <v>13.0</v>
      </c>
      <c r="BY81" s="63">
        <v>1.0</v>
      </c>
      <c r="CA81" s="63">
        <v>2.0</v>
      </c>
    </row>
    <row r="82" ht="15.75" customHeight="1">
      <c r="A82" s="63" t="s">
        <v>508</v>
      </c>
      <c r="B82" s="63" t="s">
        <v>509</v>
      </c>
      <c r="C82" s="63" t="s">
        <v>510</v>
      </c>
      <c r="D82" s="63">
        <v>80223.0</v>
      </c>
      <c r="E82" s="63" t="s">
        <v>421</v>
      </c>
      <c r="F82" s="63">
        <v>55.0</v>
      </c>
      <c r="H82" s="63">
        <v>3085.0</v>
      </c>
      <c r="I82" s="63">
        <v>222.0</v>
      </c>
      <c r="J82" s="63">
        <v>124.0</v>
      </c>
      <c r="K82" s="63">
        <v>63.0</v>
      </c>
      <c r="M82" s="63">
        <v>1075.0</v>
      </c>
      <c r="N82" s="63">
        <v>1185.0</v>
      </c>
      <c r="O82" s="63">
        <v>1977.0</v>
      </c>
      <c r="P82" s="63">
        <v>598.0</v>
      </c>
      <c r="S82" s="63">
        <v>7.0</v>
      </c>
      <c r="T82" s="63">
        <v>1.0</v>
      </c>
      <c r="U82" s="63">
        <v>653.0</v>
      </c>
      <c r="V82" s="63">
        <v>127.0</v>
      </c>
      <c r="W82" s="64">
        <v>74.0</v>
      </c>
      <c r="X82" s="63">
        <v>3.0</v>
      </c>
      <c r="Y82" s="63">
        <v>2.0</v>
      </c>
      <c r="AA82" s="63">
        <v>211.0</v>
      </c>
      <c r="AB82" s="63">
        <v>36.0</v>
      </c>
      <c r="AC82" s="63">
        <v>1.0</v>
      </c>
      <c r="AD82" s="63">
        <v>2.0</v>
      </c>
      <c r="AF82" s="63">
        <v>52.0</v>
      </c>
      <c r="AG82" s="63">
        <v>138.0</v>
      </c>
      <c r="AH82" s="63">
        <v>66.0</v>
      </c>
      <c r="AI82" s="63">
        <v>76.0</v>
      </c>
      <c r="AL82" s="63">
        <v>7.0</v>
      </c>
      <c r="AN82" s="63">
        <v>12.0</v>
      </c>
      <c r="AO82" s="63">
        <v>1.0</v>
      </c>
      <c r="AP82" s="63">
        <v>4.0</v>
      </c>
      <c r="AR82" s="63">
        <v>23.0</v>
      </c>
      <c r="AT82" s="63">
        <v>673.0</v>
      </c>
      <c r="AU82" s="63">
        <v>108.0</v>
      </c>
      <c r="AV82" s="63">
        <v>33.0</v>
      </c>
      <c r="AW82" s="63">
        <v>8.0</v>
      </c>
      <c r="AY82" s="63">
        <v>102.0</v>
      </c>
      <c r="AZ82" s="63">
        <v>416.0</v>
      </c>
      <c r="BA82" s="63">
        <v>87.0</v>
      </c>
      <c r="BB82" s="63">
        <v>120.0</v>
      </c>
      <c r="BD82" s="63">
        <v>97.0</v>
      </c>
      <c r="BE82" s="63">
        <v>4.0</v>
      </c>
      <c r="BF82" s="63">
        <v>1.0</v>
      </c>
      <c r="BG82" s="63">
        <v>165.0</v>
      </c>
      <c r="BH82" s="63">
        <v>33.0</v>
      </c>
      <c r="BI82" s="63">
        <v>74.0</v>
      </c>
      <c r="BJ82" s="63">
        <v>3.0</v>
      </c>
      <c r="BK82" s="63">
        <v>17.8</v>
      </c>
      <c r="BL82" s="63">
        <v>2.0</v>
      </c>
      <c r="BM82" s="64"/>
      <c r="BN82" s="63">
        <v>578.0</v>
      </c>
      <c r="BO82" s="63">
        <v>50.0</v>
      </c>
      <c r="BS82" s="63">
        <v>14.0</v>
      </c>
      <c r="BT82" s="63">
        <v>228.0</v>
      </c>
      <c r="BU82" s="63">
        <v>3.0</v>
      </c>
      <c r="BV82" s="63">
        <v>371.0</v>
      </c>
      <c r="BX82" s="63">
        <v>7.0</v>
      </c>
      <c r="BY82" s="63">
        <v>7.0</v>
      </c>
      <c r="CA82" s="63">
        <v>27.0</v>
      </c>
      <c r="CC82" s="63">
        <v>1.0</v>
      </c>
      <c r="CG82" s="63">
        <v>12.0</v>
      </c>
      <c r="CH82" s="63">
        <v>23.0</v>
      </c>
      <c r="CL82" s="63">
        <v>25.0</v>
      </c>
      <c r="CM82" s="63">
        <v>7.0</v>
      </c>
      <c r="CN82" s="63">
        <v>1.0</v>
      </c>
      <c r="CO82" s="63">
        <v>49.0</v>
      </c>
      <c r="CT82" s="63">
        <v>3.0</v>
      </c>
      <c r="CX82" s="63">
        <v>13.0</v>
      </c>
      <c r="DA82" s="63">
        <v>39.0</v>
      </c>
      <c r="DB82" s="63">
        <v>12.0</v>
      </c>
      <c r="DF82" s="63">
        <v>3.0</v>
      </c>
      <c r="DG82" s="63">
        <v>14.0</v>
      </c>
      <c r="DH82" s="63">
        <v>1.0</v>
      </c>
      <c r="DI82" s="63">
        <v>35.0</v>
      </c>
      <c r="DN82" s="63">
        <v>3.0</v>
      </c>
      <c r="DP82" s="63">
        <v>1.0</v>
      </c>
      <c r="DR82" s="63">
        <v>7.7</v>
      </c>
      <c r="DU82" s="63">
        <v>8.0</v>
      </c>
      <c r="DV82" s="63">
        <v>3.0</v>
      </c>
      <c r="DZ82" s="63">
        <v>15.0</v>
      </c>
      <c r="EA82" s="63">
        <v>6.0</v>
      </c>
      <c r="EB82" s="63">
        <v>2.0</v>
      </c>
      <c r="EC82" s="63">
        <v>11.0</v>
      </c>
      <c r="EE82" s="63">
        <v>5.0</v>
      </c>
      <c r="EH82" s="63">
        <v>2.0</v>
      </c>
      <c r="EL82" s="63">
        <v>11.54</v>
      </c>
      <c r="EO82" s="63">
        <v>55.0</v>
      </c>
      <c r="EP82" s="63">
        <v>4.0</v>
      </c>
      <c r="ET82" s="63">
        <v>2.0</v>
      </c>
      <c r="EU82" s="63">
        <v>3.0</v>
      </c>
      <c r="EW82" s="63">
        <v>22.0</v>
      </c>
      <c r="EY82" s="63">
        <v>3.0</v>
      </c>
      <c r="FB82" s="63">
        <v>32.0</v>
      </c>
      <c r="FD82" s="63">
        <v>1.0</v>
      </c>
      <c r="FF82" s="63">
        <v>3.32</v>
      </c>
      <c r="FJ82" s="63">
        <v>72.0</v>
      </c>
      <c r="FK82" s="63">
        <v>15.0</v>
      </c>
      <c r="FO82" s="63">
        <v>112.0</v>
      </c>
      <c r="FP82" s="63">
        <v>46.0</v>
      </c>
      <c r="FQ82" s="63">
        <v>8.0</v>
      </c>
      <c r="FR82" s="63">
        <v>99.0</v>
      </c>
      <c r="FT82" s="63">
        <v>9.0</v>
      </c>
      <c r="FU82" s="63">
        <v>3.0</v>
      </c>
      <c r="FW82" s="63">
        <v>34.0</v>
      </c>
      <c r="GA82" s="63">
        <v>11.89</v>
      </c>
    </row>
    <row r="83" ht="15.75" customHeight="1">
      <c r="A83" s="63" t="s">
        <v>511</v>
      </c>
      <c r="B83" s="63" t="s">
        <v>512</v>
      </c>
      <c r="C83" s="63" t="s">
        <v>513</v>
      </c>
      <c r="D83" s="63">
        <v>81069.0</v>
      </c>
      <c r="E83" s="63" t="s">
        <v>406</v>
      </c>
      <c r="F83" s="63">
        <v>32.0</v>
      </c>
      <c r="G83" s="63">
        <v>32.0</v>
      </c>
      <c r="I83" s="63">
        <v>15.0</v>
      </c>
      <c r="J83" s="63">
        <v>4.0</v>
      </c>
      <c r="K83" s="63">
        <v>123.0</v>
      </c>
      <c r="L83" s="63">
        <v>65.0</v>
      </c>
      <c r="N83" s="63">
        <v>179.0</v>
      </c>
      <c r="S83" s="63">
        <v>5.0</v>
      </c>
      <c r="W83" s="64">
        <v>30.0</v>
      </c>
      <c r="X83" s="63">
        <v>30.0</v>
      </c>
      <c r="Y83" s="63">
        <v>1.0</v>
      </c>
      <c r="Z83" s="63">
        <v>1.0</v>
      </c>
      <c r="AB83" s="63">
        <v>2.0</v>
      </c>
      <c r="AG83" s="63">
        <v>12.0</v>
      </c>
      <c r="AK83" s="63">
        <v>12.0</v>
      </c>
      <c r="BM83" s="64"/>
    </row>
    <row r="84" ht="15.75" customHeight="1">
      <c r="A84" s="63" t="s">
        <v>514</v>
      </c>
      <c r="B84" s="63" t="s">
        <v>515</v>
      </c>
      <c r="C84" s="63" t="s">
        <v>516</v>
      </c>
      <c r="D84" s="63">
        <v>81652.0</v>
      </c>
      <c r="E84" s="63" t="s">
        <v>425</v>
      </c>
      <c r="H84" s="63">
        <v>143.0</v>
      </c>
      <c r="P84" s="63">
        <v>143.0</v>
      </c>
      <c r="W84" s="64"/>
      <c r="AT84" s="63">
        <v>83.0</v>
      </c>
      <c r="BB84" s="63">
        <v>83.0</v>
      </c>
      <c r="BK84" s="63">
        <v>5.0</v>
      </c>
      <c r="BM84" s="64"/>
      <c r="DA84" s="63">
        <v>3.0</v>
      </c>
      <c r="DI84" s="63">
        <v>3.0</v>
      </c>
      <c r="DR84" s="63">
        <v>5.0</v>
      </c>
    </row>
    <row r="85" ht="15.75" customHeight="1">
      <c r="A85" s="63" t="s">
        <v>517</v>
      </c>
      <c r="B85" s="63" t="s">
        <v>518</v>
      </c>
      <c r="C85" s="63" t="s">
        <v>519</v>
      </c>
      <c r="D85" s="63" t="s">
        <v>520</v>
      </c>
      <c r="E85" s="63" t="s">
        <v>444</v>
      </c>
      <c r="F85" s="63">
        <v>61.0</v>
      </c>
      <c r="G85" s="63">
        <v>61.0</v>
      </c>
      <c r="I85" s="63">
        <v>3.0</v>
      </c>
      <c r="L85" s="63">
        <v>55.0</v>
      </c>
      <c r="N85" s="63">
        <v>51.0</v>
      </c>
      <c r="W85" s="64">
        <v>10.0</v>
      </c>
      <c r="X85" s="63">
        <v>10.0</v>
      </c>
      <c r="Y85" s="63">
        <v>132.0</v>
      </c>
      <c r="Z85" s="63">
        <v>132.0</v>
      </c>
      <c r="AA85" s="63">
        <v>4.0</v>
      </c>
      <c r="AB85" s="63">
        <v>3.0</v>
      </c>
      <c r="AE85" s="63">
        <v>124.0</v>
      </c>
      <c r="AG85" s="63">
        <v>123.0</v>
      </c>
      <c r="AL85" s="63">
        <v>3.0</v>
      </c>
      <c r="AP85" s="63">
        <v>3.0</v>
      </c>
      <c r="AQ85" s="63">
        <v>3.0</v>
      </c>
      <c r="BM85" s="64"/>
    </row>
    <row r="86" ht="15.75" customHeight="1">
      <c r="A86" s="63" t="s">
        <v>521</v>
      </c>
      <c r="B86" s="63" t="s">
        <v>522</v>
      </c>
      <c r="C86" s="63" t="s">
        <v>523</v>
      </c>
      <c r="D86" s="63">
        <v>80113.0</v>
      </c>
      <c r="E86" s="63" t="s">
        <v>350</v>
      </c>
      <c r="F86" s="63">
        <v>6.0</v>
      </c>
      <c r="I86" s="63">
        <v>9.0</v>
      </c>
      <c r="K86" s="63">
        <v>15.0</v>
      </c>
      <c r="L86" s="63">
        <v>3.0</v>
      </c>
      <c r="N86" s="63">
        <v>25.0</v>
      </c>
      <c r="U86" s="63">
        <v>4.0</v>
      </c>
      <c r="W86" s="64">
        <v>4.0</v>
      </c>
      <c r="BM86" s="64"/>
    </row>
    <row r="87" ht="15.75" customHeight="1">
      <c r="A87" s="63" t="s">
        <v>524</v>
      </c>
      <c r="B87" s="63" t="s">
        <v>525</v>
      </c>
      <c r="C87" s="63" t="s">
        <v>526</v>
      </c>
      <c r="D87" s="63">
        <v>80525.0</v>
      </c>
      <c r="E87" s="63" t="s">
        <v>275</v>
      </c>
      <c r="F87" s="63">
        <v>20.0</v>
      </c>
      <c r="S87" s="63">
        <v>6.0</v>
      </c>
      <c r="W87" s="64">
        <v>14.0</v>
      </c>
      <c r="BM87" s="64"/>
    </row>
    <row r="88" ht="15.75" customHeight="1">
      <c r="A88" s="63" t="s">
        <v>527</v>
      </c>
      <c r="B88" s="63" t="s">
        <v>528</v>
      </c>
      <c r="C88" s="63" t="s">
        <v>529</v>
      </c>
      <c r="D88" s="63">
        <v>80125.0</v>
      </c>
      <c r="E88" s="63" t="s">
        <v>235</v>
      </c>
      <c r="F88" s="63">
        <v>10.0</v>
      </c>
      <c r="G88" s="63">
        <v>10.0</v>
      </c>
      <c r="I88" s="63">
        <v>5.0</v>
      </c>
      <c r="K88" s="63">
        <v>23.0</v>
      </c>
      <c r="L88" s="63">
        <v>183.0</v>
      </c>
      <c r="M88" s="63">
        <v>9.0</v>
      </c>
      <c r="N88" s="63">
        <v>191.0</v>
      </c>
      <c r="P88" s="63">
        <v>1.0</v>
      </c>
      <c r="S88" s="63">
        <v>1.0</v>
      </c>
      <c r="T88" s="63">
        <v>1.0</v>
      </c>
      <c r="U88" s="63">
        <v>1.0</v>
      </c>
      <c r="W88" s="64">
        <v>25.0</v>
      </c>
      <c r="X88" s="63">
        <v>25.0</v>
      </c>
      <c r="AE88" s="63">
        <v>126.0</v>
      </c>
      <c r="AG88" s="63">
        <v>124.0</v>
      </c>
      <c r="AL88" s="63">
        <v>1.0</v>
      </c>
      <c r="AP88" s="63">
        <v>1.0</v>
      </c>
      <c r="AQ88" s="63">
        <v>1.0</v>
      </c>
      <c r="AU88" s="63">
        <v>1.0</v>
      </c>
      <c r="AW88" s="63">
        <v>14.0</v>
      </c>
      <c r="AX88" s="63">
        <v>15.0</v>
      </c>
      <c r="AZ88" s="63">
        <v>29.0</v>
      </c>
      <c r="BI88" s="63">
        <v>1.0</v>
      </c>
      <c r="BJ88" s="63">
        <v>1.0</v>
      </c>
      <c r="BK88" s="63">
        <v>19.0</v>
      </c>
      <c r="BM88" s="64"/>
      <c r="BQ88" s="63">
        <v>8.0</v>
      </c>
      <c r="BR88" s="63">
        <v>27.0</v>
      </c>
      <c r="BS88" s="63">
        <v>0.0</v>
      </c>
      <c r="BT88" s="63">
        <v>34.0</v>
      </c>
      <c r="BY88" s="63">
        <v>1.0</v>
      </c>
    </row>
    <row r="89" ht="15.75" customHeight="1">
      <c r="A89" s="63" t="s">
        <v>530</v>
      </c>
      <c r="B89" s="63" t="s">
        <v>531</v>
      </c>
      <c r="C89" s="63" t="s">
        <v>532</v>
      </c>
      <c r="D89" s="63">
        <v>80104.0</v>
      </c>
      <c r="E89" s="63" t="s">
        <v>235</v>
      </c>
      <c r="H89" s="63">
        <v>3.0</v>
      </c>
      <c r="I89" s="63">
        <v>5.0</v>
      </c>
      <c r="K89" s="63">
        <v>10.0</v>
      </c>
      <c r="L89" s="63">
        <v>66.0</v>
      </c>
      <c r="N89" s="63">
        <v>54.0</v>
      </c>
      <c r="P89" s="63">
        <v>2.0</v>
      </c>
      <c r="W89" s="64">
        <v>28.0</v>
      </c>
      <c r="X89" s="63">
        <v>28.0</v>
      </c>
      <c r="AA89" s="63">
        <v>4.0</v>
      </c>
      <c r="AB89" s="63">
        <v>17.0</v>
      </c>
      <c r="AD89" s="63">
        <v>11.0</v>
      </c>
      <c r="AE89" s="63">
        <v>276.0</v>
      </c>
      <c r="AG89" s="63">
        <v>187.0</v>
      </c>
      <c r="AL89" s="63">
        <v>32.0</v>
      </c>
      <c r="AP89" s="63">
        <v>121.0</v>
      </c>
      <c r="AQ89" s="63">
        <v>121.0</v>
      </c>
      <c r="BM89" s="64"/>
    </row>
    <row r="90" ht="15.75" customHeight="1">
      <c r="A90" s="64" t="s">
        <v>533</v>
      </c>
      <c r="B90" s="64" t="s">
        <v>534</v>
      </c>
      <c r="C90" s="64" t="s">
        <v>535</v>
      </c>
      <c r="D90" s="64">
        <v>80231.0</v>
      </c>
      <c r="E90" s="64" t="s">
        <v>421</v>
      </c>
      <c r="F90" s="64">
        <v>100.0</v>
      </c>
      <c r="G90" s="64">
        <v>20.0</v>
      </c>
      <c r="H90" s="64">
        <v>1226.0</v>
      </c>
      <c r="I90" s="64">
        <v>3639.0</v>
      </c>
      <c r="J90" s="64">
        <v>1465.0</v>
      </c>
      <c r="K90" s="64">
        <v>1170.0</v>
      </c>
      <c r="L90" s="64">
        <v>350.0</v>
      </c>
      <c r="M90" s="64">
        <v>11.0</v>
      </c>
      <c r="N90" s="64">
        <v>4239.0</v>
      </c>
      <c r="O90" s="64">
        <v>630.0</v>
      </c>
      <c r="P90" s="64">
        <v>711.0</v>
      </c>
      <c r="Q90" s="64">
        <v>3.0</v>
      </c>
      <c r="R90" s="64"/>
      <c r="S90" s="64">
        <v>11.0</v>
      </c>
      <c r="T90" s="64"/>
      <c r="U90" s="64">
        <v>611.0</v>
      </c>
      <c r="V90" s="64">
        <v>1465.0</v>
      </c>
      <c r="W90" s="64">
        <v>161.0</v>
      </c>
      <c r="X90" s="64">
        <v>161.0</v>
      </c>
      <c r="Y90" s="64">
        <v>7.0</v>
      </c>
      <c r="Z90" s="64">
        <v>39.0</v>
      </c>
      <c r="AA90" s="64">
        <v>149.0</v>
      </c>
      <c r="AB90" s="64">
        <v>264.0</v>
      </c>
      <c r="AC90" s="64">
        <v>7.0</v>
      </c>
      <c r="AD90" s="64">
        <v>222.0</v>
      </c>
      <c r="AE90" s="64">
        <v>172.0</v>
      </c>
      <c r="AF90" s="64">
        <v>12.0</v>
      </c>
      <c r="AG90" s="64">
        <v>593.0</v>
      </c>
      <c r="AH90" s="64">
        <v>13.0</v>
      </c>
      <c r="AI90" s="64">
        <v>53.0</v>
      </c>
      <c r="AJ90" s="64"/>
      <c r="AK90" s="64"/>
      <c r="AL90" s="64">
        <v>23.0</v>
      </c>
      <c r="AM90" s="64"/>
      <c r="AN90" s="64">
        <v>49.0</v>
      </c>
      <c r="AO90" s="64">
        <v>7.0</v>
      </c>
      <c r="AP90" s="64">
        <v>35.0</v>
      </c>
      <c r="AQ90" s="64">
        <v>18.0</v>
      </c>
      <c r="AR90" s="64">
        <v>223.0</v>
      </c>
      <c r="AS90" s="64">
        <v>32.0</v>
      </c>
      <c r="AT90" s="64">
        <v>1968.0</v>
      </c>
      <c r="AU90" s="64">
        <v>3781.0</v>
      </c>
      <c r="AV90" s="64">
        <v>639.0</v>
      </c>
      <c r="AW90" s="64">
        <v>276.0</v>
      </c>
      <c r="AX90" s="64"/>
      <c r="AY90" s="64">
        <v>1.0</v>
      </c>
      <c r="AZ90" s="64">
        <v>4651.0</v>
      </c>
      <c r="BA90" s="64">
        <v>383.0</v>
      </c>
      <c r="BB90" s="64">
        <v>65.0</v>
      </c>
      <c r="BC90" s="64"/>
      <c r="BD90" s="64">
        <v>135.0</v>
      </c>
      <c r="BE90" s="64">
        <v>19.0</v>
      </c>
      <c r="BF90" s="64">
        <v>1.0</v>
      </c>
      <c r="BG90" s="64">
        <v>859.0</v>
      </c>
      <c r="BH90" s="64">
        <v>639.0</v>
      </c>
      <c r="BI90" s="64">
        <v>135.0</v>
      </c>
      <c r="BJ90" s="64">
        <v>14.0</v>
      </c>
      <c r="BK90" s="64">
        <v>15.6</v>
      </c>
      <c r="BL90" s="64">
        <v>56.0</v>
      </c>
      <c r="BM90" s="64">
        <v>81.0</v>
      </c>
      <c r="BN90" s="64">
        <v>1812.0</v>
      </c>
      <c r="BO90" s="64">
        <v>840.0</v>
      </c>
      <c r="BP90" s="64">
        <v>2.0</v>
      </c>
      <c r="BQ90" s="64">
        <v>155.0</v>
      </c>
      <c r="BR90" s="64"/>
      <c r="BS90" s="64"/>
      <c r="BT90" s="64">
        <v>2050.0</v>
      </c>
      <c r="BU90" s="64">
        <v>15.0</v>
      </c>
      <c r="BV90" s="64">
        <v>50.0</v>
      </c>
      <c r="BW90" s="64"/>
      <c r="BX90" s="64">
        <v>8.0</v>
      </c>
      <c r="BY90" s="64">
        <v>123.0</v>
      </c>
      <c r="BZ90" s="64">
        <v>1.0</v>
      </c>
      <c r="CA90" s="64">
        <v>324.0</v>
      </c>
      <c r="CB90" s="64">
        <v>2.0</v>
      </c>
      <c r="CC90" s="64">
        <v>35.0</v>
      </c>
      <c r="CD90" s="64">
        <v>68.0</v>
      </c>
      <c r="CE90" s="64"/>
      <c r="CF90" s="64"/>
      <c r="CG90" s="64">
        <v>48.0</v>
      </c>
      <c r="CH90" s="64">
        <v>66.0</v>
      </c>
      <c r="CI90" s="64"/>
      <c r="CJ90" s="64">
        <v>2.0</v>
      </c>
      <c r="CK90" s="64"/>
      <c r="CL90" s="64">
        <v>1.0</v>
      </c>
      <c r="CM90" s="64"/>
      <c r="CN90" s="64"/>
      <c r="CO90" s="64">
        <v>94.0</v>
      </c>
      <c r="CP90" s="64"/>
      <c r="CQ90" s="64"/>
      <c r="CR90" s="64">
        <v>4.0</v>
      </c>
      <c r="CS90" s="64"/>
      <c r="CT90" s="64">
        <v>19.0</v>
      </c>
      <c r="CU90" s="64"/>
      <c r="CV90" s="64"/>
      <c r="CW90" s="64"/>
      <c r="CX90" s="64">
        <v>4.68</v>
      </c>
      <c r="CY90" s="64">
        <v>35.0</v>
      </c>
      <c r="CZ90" s="64">
        <v>7.0</v>
      </c>
      <c r="DA90" s="64">
        <v>227.0</v>
      </c>
      <c r="DB90" s="64">
        <v>821.0</v>
      </c>
      <c r="DC90" s="64">
        <v>40.0</v>
      </c>
      <c r="DD90" s="64">
        <v>39.0</v>
      </c>
      <c r="DE90" s="64"/>
      <c r="DF90" s="64"/>
      <c r="DG90" s="64">
        <v>740.0</v>
      </c>
      <c r="DH90" s="64">
        <v>16.0</v>
      </c>
      <c r="DI90" s="64">
        <v>197.0</v>
      </c>
      <c r="DJ90" s="64"/>
      <c r="DK90" s="64"/>
      <c r="DL90" s="64">
        <v>19.0</v>
      </c>
      <c r="DM90" s="64"/>
      <c r="DN90" s="64">
        <v>144.0</v>
      </c>
      <c r="DO90" s="64">
        <v>40.0</v>
      </c>
      <c r="DP90" s="64"/>
      <c r="DQ90" s="64"/>
      <c r="DR90" s="64">
        <v>12.9</v>
      </c>
      <c r="DS90" s="64">
        <v>7.0</v>
      </c>
      <c r="DT90" s="64">
        <v>3.0</v>
      </c>
      <c r="DU90" s="64">
        <v>29.0</v>
      </c>
      <c r="DV90" s="64">
        <v>43.0</v>
      </c>
      <c r="DW90" s="64">
        <v>2.0</v>
      </c>
      <c r="DX90" s="64">
        <v>2.0</v>
      </c>
      <c r="DY90" s="64"/>
      <c r="DZ90" s="64"/>
      <c r="EA90" s="64">
        <v>17.0</v>
      </c>
      <c r="EB90" s="64">
        <v>4.0</v>
      </c>
      <c r="EC90" s="64">
        <v>52.0</v>
      </c>
      <c r="ED90" s="64"/>
      <c r="EE90" s="64"/>
      <c r="EF90" s="64">
        <v>1.0</v>
      </c>
      <c r="EG90" s="64"/>
      <c r="EH90" s="64">
        <v>1.0</v>
      </c>
      <c r="EI90" s="64">
        <v>2.0</v>
      </c>
      <c r="EJ90" s="64"/>
      <c r="EK90" s="64"/>
      <c r="EL90" s="64">
        <v>14.0</v>
      </c>
      <c r="EM90" s="64">
        <v>10.0</v>
      </c>
      <c r="EN90" s="64"/>
      <c r="EO90" s="64">
        <v>74.0</v>
      </c>
      <c r="EP90" s="64">
        <v>249.0</v>
      </c>
      <c r="EQ90" s="64">
        <v>8.0</v>
      </c>
      <c r="ER90" s="64">
        <v>28.0</v>
      </c>
      <c r="ES90" s="64"/>
      <c r="ET90" s="64"/>
      <c r="EU90" s="64">
        <v>255.0</v>
      </c>
      <c r="EV90" s="64">
        <v>4.0</v>
      </c>
      <c r="EW90" s="64">
        <v>68.0</v>
      </c>
      <c r="EX90" s="64"/>
      <c r="EY90" s="64"/>
      <c r="EZ90" s="64">
        <v>7.0</v>
      </c>
      <c r="FA90" s="64"/>
      <c r="FB90" s="64">
        <v>21.0</v>
      </c>
      <c r="FC90" s="64">
        <v>8.0</v>
      </c>
      <c r="FD90" s="64"/>
      <c r="FE90" s="64"/>
      <c r="FF90" s="64">
        <v>10.0</v>
      </c>
      <c r="FG90" s="64"/>
      <c r="FH90" s="64"/>
      <c r="FI90" s="64"/>
      <c r="FJ90" s="64">
        <v>78.0</v>
      </c>
      <c r="FK90" s="64">
        <v>105.0</v>
      </c>
      <c r="FL90" s="64">
        <v>2.0</v>
      </c>
      <c r="FM90" s="64">
        <v>153.0</v>
      </c>
      <c r="FN90" s="64"/>
      <c r="FO90" s="64"/>
      <c r="FP90" s="64">
        <v>131.0</v>
      </c>
      <c r="FQ90" s="64">
        <v>1.0</v>
      </c>
      <c r="FR90" s="64">
        <v>103.0</v>
      </c>
      <c r="FS90" s="64"/>
      <c r="FT90" s="64"/>
      <c r="FU90" s="64">
        <v>6.0</v>
      </c>
      <c r="FV90" s="64"/>
      <c r="FW90" s="64">
        <v>65.0</v>
      </c>
      <c r="FX90" s="64">
        <v>2.0</v>
      </c>
      <c r="FY90" s="64">
        <v>52.0</v>
      </c>
      <c r="FZ90" s="64"/>
      <c r="GA90" s="64">
        <v>1.0</v>
      </c>
    </row>
    <row r="91" ht="15.75" customHeight="1">
      <c r="A91" s="63" t="s">
        <v>536</v>
      </c>
      <c r="B91" s="63" t="s">
        <v>537</v>
      </c>
      <c r="C91" s="63" t="s">
        <v>538</v>
      </c>
      <c r="D91" s="63">
        <v>81631.0</v>
      </c>
      <c r="E91" s="63" t="s">
        <v>539</v>
      </c>
      <c r="F91" s="63">
        <v>225.0</v>
      </c>
      <c r="G91" s="63">
        <v>2.0</v>
      </c>
      <c r="H91" s="63">
        <v>227.0</v>
      </c>
      <c r="I91" s="63">
        <v>218.0</v>
      </c>
      <c r="J91" s="63">
        <v>15.0</v>
      </c>
      <c r="L91" s="63">
        <v>17.0</v>
      </c>
      <c r="M91" s="63">
        <v>100.0</v>
      </c>
      <c r="N91" s="63">
        <v>54.0</v>
      </c>
      <c r="O91" s="63">
        <v>145.0</v>
      </c>
      <c r="P91" s="63">
        <v>17.0</v>
      </c>
      <c r="W91" s="64">
        <v>225.0</v>
      </c>
      <c r="X91" s="63">
        <v>2.0</v>
      </c>
      <c r="Y91" s="63">
        <v>50.0</v>
      </c>
      <c r="AA91" s="63">
        <v>28.0</v>
      </c>
      <c r="AB91" s="63">
        <v>14.0</v>
      </c>
      <c r="AD91" s="63">
        <v>3.0</v>
      </c>
      <c r="AG91" s="63">
        <v>28.0</v>
      </c>
      <c r="AH91" s="63">
        <v>19.0</v>
      </c>
      <c r="AI91" s="63">
        <v>1.0</v>
      </c>
      <c r="AN91" s="63">
        <v>1.0</v>
      </c>
      <c r="AR91" s="63">
        <v>89.0</v>
      </c>
      <c r="AT91" s="63">
        <v>54.0</v>
      </c>
      <c r="AU91" s="63">
        <v>21.0</v>
      </c>
      <c r="AW91" s="63">
        <v>7.0</v>
      </c>
      <c r="AZ91" s="63">
        <v>56.0</v>
      </c>
      <c r="BA91" s="63">
        <v>16.0</v>
      </c>
      <c r="BB91" s="63">
        <v>13.0</v>
      </c>
      <c r="BE91" s="63">
        <v>1.0</v>
      </c>
      <c r="BG91" s="63">
        <v>10.0</v>
      </c>
      <c r="BI91" s="63">
        <v>89.0</v>
      </c>
      <c r="BK91" s="63">
        <v>28.0</v>
      </c>
      <c r="BL91" s="63">
        <v>89.0</v>
      </c>
      <c r="BM91" s="64"/>
      <c r="BN91" s="63">
        <v>63.0</v>
      </c>
      <c r="BO91" s="63">
        <v>9.0</v>
      </c>
      <c r="BQ91" s="63">
        <v>14.0</v>
      </c>
      <c r="BT91" s="63">
        <v>58.0</v>
      </c>
      <c r="BU91" s="63">
        <v>15.0</v>
      </c>
      <c r="BV91" s="63">
        <v>8.0</v>
      </c>
      <c r="CA91" s="63">
        <v>10.0</v>
      </c>
      <c r="CC91" s="63">
        <v>89.0</v>
      </c>
      <c r="CE91" s="63">
        <v>2.0</v>
      </c>
      <c r="CH91" s="63">
        <v>2.0</v>
      </c>
      <c r="CJ91" s="63">
        <v>2.0</v>
      </c>
      <c r="CO91" s="63">
        <v>2.0</v>
      </c>
      <c r="CV91" s="63">
        <v>2.0</v>
      </c>
      <c r="CX91" s="63">
        <v>2.0</v>
      </c>
      <c r="CY91" s="63">
        <v>17.0</v>
      </c>
      <c r="DA91" s="63">
        <v>17.0</v>
      </c>
      <c r="DB91" s="63">
        <v>14.0</v>
      </c>
      <c r="DG91" s="63">
        <v>7.0</v>
      </c>
      <c r="DI91" s="63">
        <v>10.0</v>
      </c>
      <c r="DP91" s="63">
        <v>17.0</v>
      </c>
      <c r="DR91" s="63">
        <v>16.0</v>
      </c>
      <c r="DS91" s="63">
        <v>7.0</v>
      </c>
      <c r="DV91" s="63">
        <v>7.0</v>
      </c>
      <c r="EA91" s="63">
        <v>4.0</v>
      </c>
      <c r="EC91" s="63">
        <v>3.0</v>
      </c>
      <c r="EJ91" s="63">
        <v>7.0</v>
      </c>
      <c r="EL91" s="63">
        <v>19.0</v>
      </c>
      <c r="EM91" s="63">
        <v>8.0</v>
      </c>
      <c r="EP91" s="63">
        <v>8.0</v>
      </c>
      <c r="EU91" s="63">
        <v>4.0</v>
      </c>
      <c r="EW91" s="63">
        <v>4.0</v>
      </c>
      <c r="FD91" s="63">
        <v>8.0</v>
      </c>
      <c r="FF91" s="63">
        <v>12.0</v>
      </c>
      <c r="FG91" s="63">
        <v>14.0</v>
      </c>
      <c r="FO91" s="63">
        <v>14.0</v>
      </c>
      <c r="FP91" s="63">
        <v>14.0</v>
      </c>
      <c r="FY91" s="63">
        <v>14.0</v>
      </c>
      <c r="GA91" s="63">
        <v>10.0</v>
      </c>
    </row>
    <row r="92" ht="15.75" customHeight="1">
      <c r="A92" s="63" t="s">
        <v>540</v>
      </c>
      <c r="B92" s="63" t="s">
        <v>541</v>
      </c>
      <c r="C92" s="63" t="s">
        <v>542</v>
      </c>
      <c r="D92" s="63">
        <v>81631.0</v>
      </c>
      <c r="E92" s="63" t="s">
        <v>539</v>
      </c>
      <c r="I92" s="63">
        <v>11.0</v>
      </c>
      <c r="K92" s="63">
        <v>4.0</v>
      </c>
      <c r="N92" s="63">
        <v>14.0</v>
      </c>
      <c r="U92" s="63">
        <v>1.0</v>
      </c>
      <c r="W92" s="64"/>
      <c r="AD92" s="63">
        <v>5.0</v>
      </c>
      <c r="AG92" s="63">
        <v>5.0</v>
      </c>
      <c r="AR92" s="63">
        <v>12.0</v>
      </c>
      <c r="AS92" s="63">
        <v>3.0</v>
      </c>
      <c r="AT92" s="63">
        <v>2.0</v>
      </c>
      <c r="AU92" s="63">
        <v>48.0</v>
      </c>
      <c r="AZ92" s="63">
        <v>55.0</v>
      </c>
      <c r="BI92" s="63">
        <v>8.0</v>
      </c>
      <c r="BJ92" s="63">
        <v>2.0</v>
      </c>
      <c r="BM92" s="64"/>
      <c r="BN92" s="63">
        <v>86.0</v>
      </c>
      <c r="BQ92" s="63">
        <v>3.0</v>
      </c>
      <c r="BT92" s="63">
        <v>88.0</v>
      </c>
      <c r="CA92" s="63">
        <v>1.0</v>
      </c>
    </row>
    <row r="93" ht="15.75" customHeight="1">
      <c r="A93" s="63" t="s">
        <v>543</v>
      </c>
      <c r="B93" s="63" t="s">
        <v>544</v>
      </c>
      <c r="C93" s="63" t="s">
        <v>545</v>
      </c>
      <c r="D93" s="63">
        <v>80615.0</v>
      </c>
      <c r="E93" s="63" t="s">
        <v>258</v>
      </c>
      <c r="F93" s="63">
        <v>2.0</v>
      </c>
      <c r="H93" s="63">
        <v>69.0</v>
      </c>
      <c r="I93" s="63">
        <v>3.0</v>
      </c>
      <c r="N93" s="63">
        <v>17.0</v>
      </c>
      <c r="O93" s="63">
        <v>53.0</v>
      </c>
      <c r="U93" s="63">
        <v>3.0</v>
      </c>
      <c r="W93" s="64">
        <v>1.0</v>
      </c>
      <c r="BM93" s="64"/>
    </row>
    <row r="94" ht="15.75" customHeight="1">
      <c r="A94" s="63" t="s">
        <v>546</v>
      </c>
      <c r="B94" s="63" t="s">
        <v>547</v>
      </c>
      <c r="C94" s="63" t="s">
        <v>548</v>
      </c>
      <c r="D94" s="63">
        <v>80134.0</v>
      </c>
      <c r="E94" s="63" t="s">
        <v>235</v>
      </c>
      <c r="F94" s="63">
        <v>4.0</v>
      </c>
      <c r="G94" s="63">
        <v>4.0</v>
      </c>
      <c r="I94" s="63">
        <v>17.0</v>
      </c>
      <c r="K94" s="63">
        <v>10.0</v>
      </c>
      <c r="L94" s="63">
        <v>3.0</v>
      </c>
      <c r="N94" s="63">
        <v>30.0</v>
      </c>
      <c r="U94" s="63">
        <v>2.0</v>
      </c>
      <c r="W94" s="64">
        <v>4.0</v>
      </c>
      <c r="X94" s="63">
        <v>4.0</v>
      </c>
      <c r="AB94" s="63">
        <v>8.0</v>
      </c>
      <c r="AG94" s="63">
        <v>8.0</v>
      </c>
      <c r="BM94" s="64"/>
    </row>
    <row r="95" ht="15.75" customHeight="1">
      <c r="A95" s="63" t="s">
        <v>549</v>
      </c>
      <c r="B95" s="63" t="s">
        <v>550</v>
      </c>
      <c r="C95" s="63" t="s">
        <v>551</v>
      </c>
      <c r="D95" s="63">
        <v>80517.0</v>
      </c>
      <c r="E95" s="63" t="s">
        <v>275</v>
      </c>
      <c r="F95" s="63">
        <v>1.0</v>
      </c>
      <c r="H95" s="63">
        <v>42.0</v>
      </c>
      <c r="M95" s="63">
        <v>3.0</v>
      </c>
      <c r="O95" s="63">
        <v>38.0</v>
      </c>
      <c r="P95" s="63">
        <v>8.0</v>
      </c>
      <c r="W95" s="64"/>
      <c r="AT95" s="63">
        <v>9.0</v>
      </c>
      <c r="BA95" s="63">
        <v>6.0</v>
      </c>
      <c r="BB95" s="63">
        <v>3.0</v>
      </c>
      <c r="BK95" s="63">
        <v>5.11</v>
      </c>
      <c r="BM95" s="64"/>
    </row>
    <row r="96" ht="15.75" customHeight="1">
      <c r="A96" s="63" t="s">
        <v>552</v>
      </c>
      <c r="B96" s="63" t="s">
        <v>553</v>
      </c>
      <c r="C96" s="63" t="s">
        <v>554</v>
      </c>
      <c r="D96" s="63">
        <v>80439.0</v>
      </c>
      <c r="E96" s="63" t="s">
        <v>239</v>
      </c>
      <c r="G96" s="63">
        <v>21.0</v>
      </c>
      <c r="I96" s="63">
        <v>3.0</v>
      </c>
      <c r="K96" s="63">
        <v>113.0</v>
      </c>
      <c r="L96" s="63">
        <v>209.0</v>
      </c>
      <c r="N96" s="63">
        <v>280.0</v>
      </c>
      <c r="Q96" s="63">
        <v>2.0</v>
      </c>
      <c r="S96" s="63">
        <v>6.0</v>
      </c>
      <c r="W96" s="64"/>
      <c r="X96" s="63">
        <v>64.0</v>
      </c>
      <c r="Z96" s="63">
        <v>16.0</v>
      </c>
      <c r="AD96" s="63">
        <v>10.0</v>
      </c>
      <c r="AE96" s="63">
        <v>315.0</v>
      </c>
      <c r="AG96" s="63">
        <v>343.0</v>
      </c>
      <c r="AL96" s="63">
        <v>8.0</v>
      </c>
      <c r="AQ96" s="63">
        <v>14.0</v>
      </c>
      <c r="AS96" s="63">
        <v>17.0</v>
      </c>
      <c r="AT96" s="63">
        <v>11.0</v>
      </c>
      <c r="AU96" s="63">
        <v>6.0</v>
      </c>
      <c r="AX96" s="63">
        <v>10.0</v>
      </c>
      <c r="AZ96" s="63">
        <v>23.0</v>
      </c>
      <c r="BE96" s="63">
        <v>5.0</v>
      </c>
      <c r="BG96" s="63">
        <v>2.0</v>
      </c>
      <c r="BJ96" s="63">
        <v>13.0</v>
      </c>
      <c r="BK96" s="63">
        <v>48.0</v>
      </c>
      <c r="BM96" s="64">
        <v>7.0</v>
      </c>
      <c r="BN96" s="63">
        <v>52.0</v>
      </c>
      <c r="BR96" s="63">
        <v>28.0</v>
      </c>
      <c r="BT96" s="63">
        <v>80.0</v>
      </c>
      <c r="BY96" s="63">
        <v>1.0</v>
      </c>
      <c r="CD96" s="63">
        <v>6.0</v>
      </c>
      <c r="EN96" s="63">
        <v>1.0</v>
      </c>
      <c r="EP96" s="63">
        <v>1.0</v>
      </c>
      <c r="FE96" s="63">
        <v>1.0</v>
      </c>
      <c r="FF96" s="63">
        <v>92.0</v>
      </c>
    </row>
    <row r="97" ht="15.75" customHeight="1">
      <c r="A97" s="63" t="s">
        <v>555</v>
      </c>
      <c r="B97" s="63" t="s">
        <v>556</v>
      </c>
      <c r="C97" s="63" t="s">
        <v>557</v>
      </c>
      <c r="D97" s="63">
        <v>80621.0</v>
      </c>
      <c r="E97" s="63" t="s">
        <v>258</v>
      </c>
      <c r="F97" s="63">
        <v>31.0</v>
      </c>
      <c r="G97" s="63">
        <v>23.0</v>
      </c>
      <c r="H97" s="63">
        <v>14.0</v>
      </c>
      <c r="I97" s="63">
        <v>10.0</v>
      </c>
      <c r="K97" s="63">
        <v>270.0</v>
      </c>
      <c r="L97" s="63">
        <v>65.0</v>
      </c>
      <c r="M97" s="63">
        <v>9.0</v>
      </c>
      <c r="N97" s="63">
        <v>278.0</v>
      </c>
      <c r="O97" s="63">
        <v>4.0</v>
      </c>
      <c r="S97" s="63">
        <v>3.0</v>
      </c>
      <c r="U97" s="63">
        <v>9.0</v>
      </c>
      <c r="W97" s="64">
        <v>18.0</v>
      </c>
      <c r="X97" s="63">
        <v>8.0</v>
      </c>
      <c r="Y97" s="63">
        <v>20.0</v>
      </c>
      <c r="AA97" s="63">
        <v>15.0</v>
      </c>
      <c r="AB97" s="63">
        <v>2.0</v>
      </c>
      <c r="AD97" s="63">
        <v>175.0</v>
      </c>
      <c r="AE97" s="63">
        <v>300.0</v>
      </c>
      <c r="AF97" s="63">
        <v>15.0</v>
      </c>
      <c r="AG97" s="63">
        <v>495.0</v>
      </c>
      <c r="AK97" s="63">
        <v>510.0</v>
      </c>
      <c r="AL97" s="63">
        <v>6.0</v>
      </c>
      <c r="AP97" s="63">
        <v>10.0</v>
      </c>
      <c r="AR97" s="63">
        <v>301.0</v>
      </c>
      <c r="AT97" s="63">
        <v>47.0</v>
      </c>
      <c r="AU97" s="63">
        <v>30.0</v>
      </c>
      <c r="AW97" s="63">
        <v>427.0</v>
      </c>
      <c r="AX97" s="63">
        <v>325.0</v>
      </c>
      <c r="AY97" s="63">
        <v>24.0</v>
      </c>
      <c r="AZ97" s="63">
        <v>768.0</v>
      </c>
      <c r="BD97" s="63">
        <v>853.0</v>
      </c>
      <c r="BE97" s="63">
        <v>8.0</v>
      </c>
      <c r="BG97" s="63">
        <v>10.0</v>
      </c>
      <c r="BI97" s="63">
        <v>256.0</v>
      </c>
      <c r="BJ97" s="63">
        <v>3.0</v>
      </c>
      <c r="BK97" s="63">
        <v>15.0</v>
      </c>
      <c r="BL97" s="63">
        <v>72.0</v>
      </c>
      <c r="BM97" s="64"/>
      <c r="BN97" s="63">
        <v>72.0</v>
      </c>
      <c r="BO97" s="63">
        <v>111.0</v>
      </c>
      <c r="BQ97" s="63">
        <v>421.0</v>
      </c>
      <c r="BR97" s="63">
        <v>229.0</v>
      </c>
      <c r="BS97" s="63">
        <v>20.0</v>
      </c>
      <c r="BT97" s="63">
        <v>853.0</v>
      </c>
      <c r="BX97" s="63">
        <v>20.0</v>
      </c>
      <c r="BY97" s="63">
        <v>9.0</v>
      </c>
      <c r="CA97" s="63">
        <v>12.0</v>
      </c>
      <c r="CC97" s="63">
        <v>44.0</v>
      </c>
      <c r="CD97" s="63">
        <v>5.0</v>
      </c>
    </row>
    <row r="98" ht="15.75" customHeight="1">
      <c r="A98" s="63" t="s">
        <v>558</v>
      </c>
      <c r="B98" s="63" t="s">
        <v>559</v>
      </c>
      <c r="C98" s="63" t="s">
        <v>560</v>
      </c>
      <c r="D98" s="63">
        <v>80302.0</v>
      </c>
      <c r="E98" s="63" t="s">
        <v>279</v>
      </c>
      <c r="I98" s="63">
        <v>12.0</v>
      </c>
      <c r="K98" s="63">
        <v>1.0</v>
      </c>
      <c r="L98" s="63">
        <v>252.0</v>
      </c>
      <c r="N98" s="63">
        <v>263.0</v>
      </c>
      <c r="W98" s="64"/>
      <c r="X98" s="63">
        <v>2.0</v>
      </c>
      <c r="AE98" s="63">
        <v>36.0</v>
      </c>
      <c r="AG98" s="63">
        <v>36.0</v>
      </c>
      <c r="BM98" s="64"/>
    </row>
    <row r="99" ht="15.75" customHeight="1">
      <c r="A99" s="63" t="s">
        <v>561</v>
      </c>
      <c r="B99" s="63" t="s">
        <v>562</v>
      </c>
      <c r="C99" s="63" t="s">
        <v>563</v>
      </c>
      <c r="D99" s="63">
        <v>80919.0</v>
      </c>
      <c r="E99" s="63" t="s">
        <v>243</v>
      </c>
      <c r="W99" s="64"/>
      <c r="BM99" s="64"/>
      <c r="CE99" s="63">
        <v>59.0</v>
      </c>
      <c r="CG99" s="63">
        <v>1.0</v>
      </c>
      <c r="CJ99" s="63">
        <v>1.0</v>
      </c>
      <c r="CM99" s="63">
        <v>4.0</v>
      </c>
      <c r="CR99" s="63">
        <v>7.0</v>
      </c>
      <c r="CV99" s="63">
        <v>50.0</v>
      </c>
      <c r="CX99" s="63">
        <v>365.0</v>
      </c>
    </row>
    <row r="100" ht="15.75" customHeight="1">
      <c r="A100" s="63" t="s">
        <v>564</v>
      </c>
      <c r="B100" s="63" t="s">
        <v>565</v>
      </c>
      <c r="C100" s="63" t="s">
        <v>566</v>
      </c>
      <c r="D100" s="63">
        <v>80401.0</v>
      </c>
      <c r="E100" s="63" t="s">
        <v>239</v>
      </c>
      <c r="F100" s="63">
        <v>51.0</v>
      </c>
      <c r="G100" s="63">
        <v>5.0</v>
      </c>
      <c r="H100" s="63">
        <v>2131.0</v>
      </c>
      <c r="I100" s="63">
        <v>709.0</v>
      </c>
      <c r="J100" s="63">
        <v>383.0</v>
      </c>
      <c r="K100" s="63">
        <v>464.0</v>
      </c>
      <c r="L100" s="63">
        <v>685.0</v>
      </c>
      <c r="M100" s="63">
        <v>557.0</v>
      </c>
      <c r="N100" s="63">
        <v>2779.0</v>
      </c>
      <c r="O100" s="63">
        <v>1374.0</v>
      </c>
      <c r="P100" s="63">
        <v>121.0</v>
      </c>
      <c r="S100" s="63">
        <v>3.0</v>
      </c>
      <c r="U100" s="63">
        <v>251.0</v>
      </c>
      <c r="V100" s="63">
        <v>383.0</v>
      </c>
      <c r="W100" s="64">
        <v>69.0</v>
      </c>
      <c r="X100" s="63">
        <v>9.0</v>
      </c>
      <c r="Y100" s="63">
        <v>11.0</v>
      </c>
      <c r="Z100" s="63">
        <v>10.0</v>
      </c>
      <c r="AA100" s="63">
        <v>120.0</v>
      </c>
      <c r="AB100" s="63">
        <v>55.0</v>
      </c>
      <c r="AD100" s="63">
        <v>139.0</v>
      </c>
      <c r="AE100" s="63">
        <v>282.0</v>
      </c>
      <c r="AF100" s="63">
        <v>35.0</v>
      </c>
      <c r="AG100" s="63">
        <v>570.0</v>
      </c>
      <c r="AH100" s="63">
        <v>36.0</v>
      </c>
      <c r="AI100" s="63">
        <v>6.0</v>
      </c>
      <c r="AL100" s="63">
        <v>10.0</v>
      </c>
      <c r="AN100" s="63">
        <v>4.0</v>
      </c>
      <c r="AO100" s="63">
        <v>2.0</v>
      </c>
      <c r="AP100" s="63">
        <v>14.0</v>
      </c>
      <c r="AQ100" s="63">
        <v>9.0</v>
      </c>
      <c r="AR100" s="63">
        <v>87.0</v>
      </c>
      <c r="AS100" s="63">
        <v>7.0</v>
      </c>
      <c r="AT100" s="63">
        <v>944.0</v>
      </c>
      <c r="AU100" s="63">
        <v>520.0</v>
      </c>
      <c r="AV100" s="63">
        <v>221.0</v>
      </c>
      <c r="AW100" s="63">
        <v>108.0</v>
      </c>
      <c r="AX100" s="63">
        <v>156.0</v>
      </c>
      <c r="AY100" s="63">
        <v>244.0</v>
      </c>
      <c r="AZ100" s="63">
        <v>1518.0</v>
      </c>
      <c r="BA100" s="63">
        <v>184.0</v>
      </c>
      <c r="BB100" s="63">
        <v>16.0</v>
      </c>
      <c r="BE100" s="63">
        <v>19.0</v>
      </c>
      <c r="BF100" s="63">
        <v>1.0</v>
      </c>
      <c r="BG100" s="63">
        <v>242.0</v>
      </c>
      <c r="BH100" s="63">
        <v>224.0</v>
      </c>
      <c r="BI100" s="63">
        <v>76.0</v>
      </c>
      <c r="BJ100" s="63">
        <v>7.0</v>
      </c>
      <c r="BK100" s="63">
        <v>18.3</v>
      </c>
      <c r="BL100" s="63">
        <v>30.0</v>
      </c>
      <c r="BM100" s="64">
        <v>23.0</v>
      </c>
      <c r="BN100" s="63">
        <v>476.0</v>
      </c>
      <c r="BO100" s="63">
        <v>77.0</v>
      </c>
      <c r="BQ100" s="63">
        <v>247.0</v>
      </c>
      <c r="BR100" s="63">
        <v>104.0</v>
      </c>
      <c r="BS100" s="63">
        <v>18.0</v>
      </c>
      <c r="BT100" s="63">
        <v>865.0</v>
      </c>
      <c r="BU100" s="63">
        <v>3.0</v>
      </c>
      <c r="BV100" s="63">
        <v>7.0</v>
      </c>
      <c r="BY100" s="63">
        <v>23.0</v>
      </c>
      <c r="BZ100" s="63">
        <v>1.0</v>
      </c>
      <c r="CA100" s="63">
        <v>33.0</v>
      </c>
      <c r="CC100" s="63">
        <v>20.0</v>
      </c>
      <c r="CD100" s="63">
        <v>14.0</v>
      </c>
      <c r="CG100" s="63">
        <v>18.0</v>
      </c>
      <c r="CH100" s="63">
        <v>37.0</v>
      </c>
      <c r="CI100" s="63">
        <v>1.0</v>
      </c>
      <c r="CJ100" s="63">
        <v>28.0</v>
      </c>
      <c r="CL100" s="63">
        <v>1.0</v>
      </c>
      <c r="CM100" s="63">
        <v>75.0</v>
      </c>
      <c r="CN100" s="63">
        <v>1.0</v>
      </c>
      <c r="CO100" s="63">
        <v>6.0</v>
      </c>
      <c r="CT100" s="63">
        <v>2.0</v>
      </c>
      <c r="CV100" s="63">
        <v>1.0</v>
      </c>
      <c r="CX100" s="63">
        <v>6.3</v>
      </c>
      <c r="CY100" s="63">
        <v>10.0</v>
      </c>
      <c r="DA100" s="63">
        <v>215.0</v>
      </c>
      <c r="DB100" s="63">
        <v>156.0</v>
      </c>
      <c r="DC100" s="63">
        <v>12.0</v>
      </c>
      <c r="DD100" s="63">
        <v>13.0</v>
      </c>
      <c r="DF100" s="63">
        <v>2.0</v>
      </c>
      <c r="DG100" s="63">
        <v>205.0</v>
      </c>
      <c r="DH100" s="63">
        <v>5.0</v>
      </c>
      <c r="DI100" s="63">
        <v>144.0</v>
      </c>
      <c r="DL100" s="63">
        <v>1.0</v>
      </c>
      <c r="DN100" s="63">
        <v>32.0</v>
      </c>
      <c r="DO100" s="63">
        <v>12.0</v>
      </c>
      <c r="DP100" s="63">
        <v>9.0</v>
      </c>
      <c r="DQ100" s="63">
        <v>1.0</v>
      </c>
      <c r="DR100" s="63">
        <v>12.9</v>
      </c>
      <c r="DU100" s="63">
        <v>128.0</v>
      </c>
      <c r="DV100" s="63">
        <v>14.0</v>
      </c>
      <c r="DW100" s="63">
        <v>1.0</v>
      </c>
      <c r="EA100" s="63">
        <v>137.0</v>
      </c>
      <c r="EC100" s="63">
        <v>2.0</v>
      </c>
      <c r="EF100" s="63">
        <v>1.0</v>
      </c>
      <c r="EI100" s="63">
        <v>1.0</v>
      </c>
      <c r="EJ100" s="63">
        <v>2.0</v>
      </c>
      <c r="EL100" s="63">
        <v>13.2</v>
      </c>
      <c r="EM100" s="63">
        <v>11.0</v>
      </c>
      <c r="EN100" s="63">
        <v>5.0</v>
      </c>
      <c r="EO100" s="63">
        <v>49.0</v>
      </c>
      <c r="EP100" s="63">
        <v>74.0</v>
      </c>
      <c r="EQ100" s="63">
        <v>5.0</v>
      </c>
      <c r="ET100" s="63">
        <v>14.0</v>
      </c>
      <c r="EU100" s="63">
        <v>125.0</v>
      </c>
      <c r="EV100" s="63">
        <v>3.0</v>
      </c>
      <c r="EW100" s="63">
        <v>5.0</v>
      </c>
      <c r="FB100" s="63">
        <v>5.0</v>
      </c>
      <c r="FC100" s="63">
        <v>5.0</v>
      </c>
      <c r="FD100" s="63">
        <v>5.0</v>
      </c>
      <c r="FF100" s="63">
        <v>33.7</v>
      </c>
      <c r="FG100" s="63">
        <v>10.0</v>
      </c>
      <c r="FJ100" s="63">
        <v>46.0</v>
      </c>
      <c r="FK100" s="63">
        <v>13.0</v>
      </c>
      <c r="FL100" s="63">
        <v>1.0</v>
      </c>
      <c r="FM100" s="63">
        <v>1.0</v>
      </c>
      <c r="FO100" s="63">
        <v>5.0</v>
      </c>
      <c r="FP100" s="63">
        <v>61.0</v>
      </c>
      <c r="FQ100" s="63">
        <v>2.0</v>
      </c>
      <c r="FR100" s="63">
        <v>7.0</v>
      </c>
      <c r="FU100" s="63">
        <v>1.0</v>
      </c>
      <c r="FW100" s="63">
        <v>2.0</v>
      </c>
      <c r="FX100" s="63">
        <v>1.0</v>
      </c>
      <c r="FY100" s="63">
        <v>2.0</v>
      </c>
      <c r="GA100" s="63">
        <v>17.2</v>
      </c>
    </row>
    <row r="101" ht="15.75" customHeight="1">
      <c r="A101" s="63" t="s">
        <v>567</v>
      </c>
      <c r="B101" s="63" t="s">
        <v>568</v>
      </c>
      <c r="C101" s="63" t="s">
        <v>569</v>
      </c>
      <c r="D101" s="63">
        <v>81321.0</v>
      </c>
      <c r="E101" s="63" t="s">
        <v>380</v>
      </c>
      <c r="W101" s="64"/>
      <c r="AA101" s="63">
        <v>2.0</v>
      </c>
      <c r="AG101" s="63">
        <v>2.0</v>
      </c>
      <c r="AS101" s="63">
        <v>9.0</v>
      </c>
      <c r="AT101" s="63">
        <v>3.0</v>
      </c>
      <c r="AU101" s="63">
        <v>14.0</v>
      </c>
      <c r="AY101" s="63">
        <v>287.0</v>
      </c>
      <c r="AZ101" s="63">
        <v>5.0</v>
      </c>
      <c r="BA101" s="63">
        <v>1.0</v>
      </c>
      <c r="BB101" s="63">
        <v>20.0</v>
      </c>
      <c r="BD101" s="63">
        <v>272.0</v>
      </c>
      <c r="BG101" s="63">
        <v>1.0</v>
      </c>
      <c r="BJ101" s="63">
        <v>14.0</v>
      </c>
      <c r="BK101" s="63">
        <v>17.0</v>
      </c>
      <c r="BM101" s="64"/>
      <c r="BS101" s="63">
        <v>92.0</v>
      </c>
      <c r="BV101" s="63">
        <v>92.0</v>
      </c>
    </row>
    <row r="102" ht="15.75" customHeight="1">
      <c r="A102" s="63" t="s">
        <v>570</v>
      </c>
      <c r="B102" s="63" t="s">
        <v>571</v>
      </c>
      <c r="C102" s="63" t="s">
        <v>572</v>
      </c>
      <c r="D102" s="63">
        <v>80014.0</v>
      </c>
      <c r="E102" s="63" t="s">
        <v>350</v>
      </c>
      <c r="W102" s="64"/>
      <c r="AS102" s="63">
        <v>2.0</v>
      </c>
      <c r="AY102" s="63">
        <v>444.0</v>
      </c>
      <c r="AZ102" s="63">
        <v>9.0</v>
      </c>
      <c r="BA102" s="63">
        <v>30.0</v>
      </c>
      <c r="BB102" s="63">
        <v>3.0</v>
      </c>
      <c r="BD102" s="63">
        <v>366.0</v>
      </c>
      <c r="BG102" s="63">
        <v>32.0</v>
      </c>
      <c r="BK102" s="63">
        <v>3.0</v>
      </c>
      <c r="BM102" s="64">
        <v>7.0</v>
      </c>
      <c r="BS102" s="63">
        <v>165.0</v>
      </c>
      <c r="BT102" s="63">
        <v>94.0</v>
      </c>
      <c r="BV102" s="63">
        <v>72.0</v>
      </c>
      <c r="BY102" s="63">
        <v>1.0</v>
      </c>
      <c r="CA102" s="63">
        <v>5.0</v>
      </c>
    </row>
    <row r="103" ht="15.75" customHeight="1">
      <c r="A103" s="63" t="s">
        <v>573</v>
      </c>
      <c r="B103" s="63" t="s">
        <v>574</v>
      </c>
      <c r="C103" s="63" t="s">
        <v>575</v>
      </c>
      <c r="D103" s="63">
        <v>80524.0</v>
      </c>
      <c r="E103" s="63" t="s">
        <v>275</v>
      </c>
      <c r="W103" s="64"/>
      <c r="AR103" s="63">
        <v>50.0</v>
      </c>
      <c r="AS103" s="63">
        <v>64.0</v>
      </c>
      <c r="AT103" s="63">
        <v>191.0</v>
      </c>
      <c r="AU103" s="63">
        <v>373.0</v>
      </c>
      <c r="AW103" s="63">
        <v>186.0</v>
      </c>
      <c r="AX103" s="63">
        <v>303.0</v>
      </c>
      <c r="AY103" s="63">
        <v>28.0</v>
      </c>
      <c r="AZ103" s="63">
        <v>1225.0</v>
      </c>
      <c r="BA103" s="63">
        <v>20.0</v>
      </c>
      <c r="BB103" s="63">
        <v>17.0</v>
      </c>
      <c r="BE103" s="63">
        <v>4.0</v>
      </c>
      <c r="BG103" s="63">
        <v>20.0</v>
      </c>
      <c r="BI103" s="63">
        <v>66.0</v>
      </c>
      <c r="BJ103" s="63">
        <v>90.0</v>
      </c>
      <c r="BK103" s="63">
        <v>35.9</v>
      </c>
      <c r="BL103" s="63">
        <v>2.0</v>
      </c>
      <c r="BM103" s="64">
        <v>61.0</v>
      </c>
      <c r="BN103" s="63">
        <v>331.0</v>
      </c>
      <c r="BO103" s="63">
        <v>291.0</v>
      </c>
      <c r="BQ103" s="63">
        <v>209.0</v>
      </c>
      <c r="BR103" s="63">
        <v>471.0</v>
      </c>
      <c r="BS103" s="63">
        <v>5.0</v>
      </c>
      <c r="BT103" s="63">
        <v>999.0</v>
      </c>
      <c r="BY103" s="63">
        <v>30.0</v>
      </c>
      <c r="CA103" s="63">
        <v>23.0</v>
      </c>
      <c r="CC103" s="63">
        <v>1.0</v>
      </c>
      <c r="CD103" s="63">
        <v>70.0</v>
      </c>
    </row>
    <row r="104" ht="15.75" customHeight="1">
      <c r="A104" s="63" t="s">
        <v>576</v>
      </c>
      <c r="B104" s="63" t="s">
        <v>577</v>
      </c>
      <c r="C104" s="63" t="s">
        <v>578</v>
      </c>
      <c r="D104" s="63">
        <v>80701.0</v>
      </c>
      <c r="E104" s="63" t="s">
        <v>372</v>
      </c>
      <c r="F104" s="63">
        <v>5.0</v>
      </c>
      <c r="H104" s="63">
        <v>485.0</v>
      </c>
      <c r="I104" s="63">
        <v>8.0</v>
      </c>
      <c r="K104" s="63">
        <v>25.0</v>
      </c>
      <c r="M104" s="63">
        <v>12.0</v>
      </c>
      <c r="N104" s="63">
        <v>162.0</v>
      </c>
      <c r="O104" s="63">
        <v>290.0</v>
      </c>
      <c r="P104" s="63">
        <v>70.0</v>
      </c>
      <c r="S104" s="63">
        <v>1.0</v>
      </c>
      <c r="U104" s="63">
        <v>5.0</v>
      </c>
      <c r="W104" s="64">
        <v>14.0</v>
      </c>
      <c r="AA104" s="63">
        <v>17.0</v>
      </c>
      <c r="AD104" s="63">
        <v>9.0</v>
      </c>
      <c r="AG104" s="63">
        <v>15.0</v>
      </c>
      <c r="AH104" s="63">
        <v>2.0</v>
      </c>
      <c r="AI104" s="63">
        <v>1.0</v>
      </c>
      <c r="AN104" s="63">
        <v>1.0</v>
      </c>
      <c r="AR104" s="63">
        <v>25.0</v>
      </c>
      <c r="AT104" s="63">
        <v>172.0</v>
      </c>
      <c r="AU104" s="63">
        <v>5.0</v>
      </c>
      <c r="AW104" s="63">
        <v>1.0</v>
      </c>
      <c r="AY104" s="63">
        <v>2.0</v>
      </c>
      <c r="AZ104" s="63">
        <v>136.0</v>
      </c>
      <c r="BA104" s="63">
        <v>18.0</v>
      </c>
      <c r="BB104" s="63">
        <v>49.0</v>
      </c>
      <c r="BG104" s="63">
        <v>1.0</v>
      </c>
      <c r="BI104" s="63">
        <v>17.0</v>
      </c>
      <c r="BK104" s="63">
        <v>32.5</v>
      </c>
      <c r="BM104" s="64"/>
      <c r="BN104" s="63">
        <v>73.0</v>
      </c>
      <c r="BT104" s="63">
        <v>26.0</v>
      </c>
      <c r="BU104" s="63">
        <v>1.0</v>
      </c>
      <c r="BV104" s="63">
        <v>24.0</v>
      </c>
      <c r="BY104" s="63">
        <v>6.0</v>
      </c>
      <c r="DA104" s="63">
        <v>11.0</v>
      </c>
      <c r="DG104" s="63">
        <v>6.0</v>
      </c>
      <c r="DH104" s="63">
        <v>3.0</v>
      </c>
      <c r="DI104" s="63">
        <v>2.0</v>
      </c>
      <c r="DR104" s="63">
        <v>7.2</v>
      </c>
    </row>
    <row r="105" ht="15.75" customHeight="1">
      <c r="A105" s="63" t="s">
        <v>579</v>
      </c>
      <c r="B105" s="63" t="s">
        <v>580</v>
      </c>
      <c r="C105" s="63" t="s">
        <v>581</v>
      </c>
      <c r="D105" s="63">
        <v>80110.0</v>
      </c>
      <c r="E105" s="63" t="s">
        <v>350</v>
      </c>
      <c r="F105" s="63">
        <v>3.0</v>
      </c>
      <c r="G105" s="63">
        <v>22.0</v>
      </c>
      <c r="H105" s="63">
        <v>2.0</v>
      </c>
      <c r="K105" s="63">
        <v>40.0</v>
      </c>
      <c r="L105" s="63">
        <v>42.0</v>
      </c>
      <c r="M105" s="63">
        <v>9.0</v>
      </c>
      <c r="N105" s="63">
        <v>68.0</v>
      </c>
      <c r="P105" s="63">
        <v>4.0</v>
      </c>
      <c r="R105" s="63">
        <v>29.0</v>
      </c>
      <c r="U105" s="63">
        <v>1.0</v>
      </c>
      <c r="W105" s="64">
        <v>8.0</v>
      </c>
      <c r="X105" s="63">
        <v>26.0</v>
      </c>
      <c r="AD105" s="63">
        <v>2.0</v>
      </c>
      <c r="BM105" s="64"/>
    </row>
    <row r="106" ht="15.75" customHeight="1">
      <c r="A106" s="63" t="s">
        <v>582</v>
      </c>
      <c r="B106" s="63" t="s">
        <v>583</v>
      </c>
      <c r="C106" s="63" t="s">
        <v>584</v>
      </c>
      <c r="D106" s="63">
        <v>80229.0</v>
      </c>
      <c r="E106" s="63" t="s">
        <v>250</v>
      </c>
      <c r="F106" s="63">
        <v>21.0</v>
      </c>
      <c r="G106" s="63">
        <v>21.0</v>
      </c>
      <c r="I106" s="63">
        <v>5.0</v>
      </c>
      <c r="N106" s="63">
        <v>116.0</v>
      </c>
      <c r="S106" s="63">
        <v>4.0</v>
      </c>
      <c r="W106" s="64">
        <v>116.0</v>
      </c>
      <c r="X106" s="63">
        <v>15.0</v>
      </c>
      <c r="BM106" s="64"/>
    </row>
    <row r="107" ht="15.75" customHeight="1">
      <c r="A107" s="63" t="s">
        <v>585</v>
      </c>
      <c r="B107" s="63" t="s">
        <v>586</v>
      </c>
      <c r="C107" s="63" t="s">
        <v>587</v>
      </c>
      <c r="D107" s="63">
        <v>80223.0</v>
      </c>
      <c r="E107" s="63" t="s">
        <v>421</v>
      </c>
      <c r="F107" s="63">
        <v>22.0</v>
      </c>
      <c r="G107" s="63">
        <v>22.0</v>
      </c>
      <c r="I107" s="63">
        <v>42.0</v>
      </c>
      <c r="K107" s="63">
        <v>29.0</v>
      </c>
      <c r="L107" s="63">
        <v>26.0</v>
      </c>
      <c r="N107" s="63">
        <v>89.0</v>
      </c>
      <c r="O107" s="63">
        <v>4.0</v>
      </c>
      <c r="P107" s="63">
        <v>3.0</v>
      </c>
      <c r="U107" s="63">
        <v>1.0</v>
      </c>
      <c r="W107" s="64">
        <v>23.0</v>
      </c>
      <c r="X107" s="63">
        <v>23.0</v>
      </c>
      <c r="Y107" s="63">
        <v>1.0</v>
      </c>
      <c r="Z107" s="63">
        <v>1.0</v>
      </c>
      <c r="AB107" s="63">
        <v>4.0</v>
      </c>
      <c r="AE107" s="63">
        <v>4.0</v>
      </c>
      <c r="AG107" s="63">
        <v>8.0</v>
      </c>
      <c r="BJ107" s="63">
        <v>1.0</v>
      </c>
      <c r="BM107" s="64"/>
    </row>
    <row r="108" ht="15.75" customHeight="1">
      <c r="A108" s="63" t="s">
        <v>588</v>
      </c>
      <c r="B108" s="63" t="s">
        <v>589</v>
      </c>
      <c r="C108" s="63" t="s">
        <v>590</v>
      </c>
      <c r="D108" s="63">
        <v>80621.0</v>
      </c>
      <c r="E108" s="63" t="s">
        <v>258</v>
      </c>
      <c r="F108" s="63">
        <v>89.0</v>
      </c>
      <c r="H108" s="63">
        <v>89.0</v>
      </c>
      <c r="N108" s="63">
        <v>3.0</v>
      </c>
      <c r="O108" s="63">
        <v>70.0</v>
      </c>
      <c r="P108" s="63">
        <v>16.0</v>
      </c>
      <c r="W108" s="64"/>
      <c r="AA108" s="63">
        <v>1.0</v>
      </c>
      <c r="AI108" s="63">
        <v>1.0</v>
      </c>
      <c r="AP108" s="63">
        <v>1.0</v>
      </c>
      <c r="BM108" s="64"/>
      <c r="CG108" s="63">
        <v>1.0</v>
      </c>
      <c r="CM108" s="63">
        <v>1.0</v>
      </c>
      <c r="CX108" s="63">
        <v>1.0</v>
      </c>
      <c r="FJ108" s="63">
        <v>1.0</v>
      </c>
      <c r="FR108" s="63">
        <v>1.0</v>
      </c>
      <c r="GA108" s="63">
        <v>1.0</v>
      </c>
    </row>
    <row r="109" ht="15.75" customHeight="1">
      <c r="A109" s="63" t="s">
        <v>591</v>
      </c>
      <c r="B109" s="63" t="s">
        <v>592</v>
      </c>
      <c r="C109" s="63" t="s">
        <v>593</v>
      </c>
      <c r="D109" s="63">
        <v>80449.0</v>
      </c>
      <c r="E109" s="63" t="s">
        <v>486</v>
      </c>
      <c r="F109" s="63">
        <v>1.0</v>
      </c>
      <c r="I109" s="63">
        <v>13.0</v>
      </c>
      <c r="N109" s="63">
        <v>13.0</v>
      </c>
      <c r="W109" s="64">
        <v>1.0</v>
      </c>
      <c r="BM109" s="64"/>
    </row>
    <row r="110" ht="15.75" customHeight="1">
      <c r="A110" s="63" t="s">
        <v>594</v>
      </c>
      <c r="B110" s="63" t="s">
        <v>595</v>
      </c>
      <c r="C110" s="63" t="s">
        <v>596</v>
      </c>
      <c r="D110" s="63">
        <v>80701.0</v>
      </c>
      <c r="E110" s="63" t="s">
        <v>372</v>
      </c>
      <c r="G110" s="63">
        <v>15.0</v>
      </c>
      <c r="I110" s="63">
        <v>13.0</v>
      </c>
      <c r="K110" s="63">
        <v>6.0</v>
      </c>
      <c r="L110" s="63">
        <v>9.0</v>
      </c>
      <c r="N110" s="63">
        <v>28.0</v>
      </c>
      <c r="P110" s="63">
        <v>1.0</v>
      </c>
      <c r="W110" s="64"/>
      <c r="X110" s="63">
        <v>10.0</v>
      </c>
      <c r="BM110" s="64"/>
    </row>
    <row r="111" ht="15.75" customHeight="1">
      <c r="A111" s="63" t="s">
        <v>597</v>
      </c>
      <c r="B111" s="63" t="s">
        <v>598</v>
      </c>
      <c r="C111" s="63" t="s">
        <v>599</v>
      </c>
      <c r="D111" s="63">
        <v>80602.0</v>
      </c>
      <c r="E111" s="63" t="s">
        <v>250</v>
      </c>
      <c r="G111" s="63">
        <v>8.0</v>
      </c>
      <c r="I111" s="63">
        <v>47.0</v>
      </c>
      <c r="K111" s="63">
        <v>3.0</v>
      </c>
      <c r="L111" s="63">
        <v>137.0</v>
      </c>
      <c r="N111" s="63">
        <v>178.0</v>
      </c>
      <c r="R111" s="63">
        <v>178.0</v>
      </c>
      <c r="S111" s="63">
        <v>1.0</v>
      </c>
      <c r="U111" s="63">
        <v>3.0</v>
      </c>
      <c r="W111" s="64"/>
      <c r="X111" s="63">
        <v>13.0</v>
      </c>
      <c r="Z111" s="63">
        <v>2.0</v>
      </c>
      <c r="AB111" s="63">
        <v>1.0</v>
      </c>
      <c r="AD111" s="63">
        <v>2.0</v>
      </c>
      <c r="AE111" s="63">
        <v>2.0</v>
      </c>
      <c r="AF111" s="63">
        <v>15.0</v>
      </c>
      <c r="AG111" s="63">
        <v>20.0</v>
      </c>
      <c r="AK111" s="63">
        <v>20.0</v>
      </c>
      <c r="AQ111" s="63">
        <v>2.0</v>
      </c>
      <c r="BM111" s="64"/>
    </row>
    <row r="112" ht="15.75" customHeight="1">
      <c r="A112" s="63" t="s">
        <v>600</v>
      </c>
      <c r="B112" s="63" t="s">
        <v>601</v>
      </c>
      <c r="C112" s="63" t="s">
        <v>602</v>
      </c>
      <c r="D112" s="63">
        <v>80007.0</v>
      </c>
      <c r="E112" s="63" t="s">
        <v>239</v>
      </c>
      <c r="F112" s="63">
        <v>8.0</v>
      </c>
      <c r="G112" s="63">
        <v>3.0</v>
      </c>
      <c r="I112" s="63">
        <v>128.0</v>
      </c>
      <c r="K112" s="63">
        <v>33.0</v>
      </c>
      <c r="L112" s="63">
        <v>22.0</v>
      </c>
      <c r="M112" s="63">
        <v>12.0</v>
      </c>
      <c r="N112" s="63">
        <v>173.0</v>
      </c>
      <c r="O112" s="63">
        <v>1.0</v>
      </c>
      <c r="P112" s="63">
        <v>8.0</v>
      </c>
      <c r="S112" s="63">
        <v>1.0</v>
      </c>
      <c r="U112" s="63">
        <v>9.0</v>
      </c>
      <c r="W112" s="64">
        <v>10.0</v>
      </c>
      <c r="AB112" s="63">
        <v>17.0</v>
      </c>
      <c r="AG112" s="63">
        <v>17.0</v>
      </c>
      <c r="BM112" s="64"/>
    </row>
    <row r="113" ht="15.75" customHeight="1">
      <c r="A113" s="63" t="s">
        <v>603</v>
      </c>
      <c r="B113" s="63" t="s">
        <v>604</v>
      </c>
      <c r="C113" s="63" t="s">
        <v>605</v>
      </c>
      <c r="D113" s="63">
        <v>80211.0</v>
      </c>
      <c r="E113" s="63" t="s">
        <v>421</v>
      </c>
      <c r="F113" s="63">
        <v>7.0</v>
      </c>
      <c r="G113" s="63">
        <v>6.0</v>
      </c>
      <c r="I113" s="63">
        <v>2.0</v>
      </c>
      <c r="K113" s="63">
        <v>12.0</v>
      </c>
      <c r="L113" s="63">
        <v>5.0</v>
      </c>
      <c r="N113" s="63">
        <v>16.0</v>
      </c>
      <c r="W113" s="64">
        <v>3.0</v>
      </c>
      <c r="X113" s="63">
        <v>3.0</v>
      </c>
      <c r="AB113" s="63">
        <v>1.0</v>
      </c>
      <c r="AG113" s="63">
        <v>1.0</v>
      </c>
      <c r="AR113" s="63">
        <v>19.0</v>
      </c>
      <c r="AS113" s="63">
        <v>16.0</v>
      </c>
      <c r="AU113" s="63">
        <v>28.0</v>
      </c>
      <c r="AZ113" s="63">
        <v>28.0</v>
      </c>
      <c r="BI113" s="63">
        <v>6.0</v>
      </c>
      <c r="BJ113" s="63">
        <v>6.0</v>
      </c>
      <c r="BK113" s="63">
        <v>205.0</v>
      </c>
      <c r="BM113" s="64"/>
      <c r="BN113" s="63">
        <v>10.0</v>
      </c>
      <c r="BT113" s="63">
        <v>10.0</v>
      </c>
      <c r="BY113" s="63">
        <v>1.0</v>
      </c>
    </row>
    <row r="114" ht="15.75" customHeight="1">
      <c r="A114" s="63" t="s">
        <v>606</v>
      </c>
      <c r="B114" s="63" t="s">
        <v>607</v>
      </c>
      <c r="C114" s="63" t="s">
        <v>608</v>
      </c>
      <c r="D114" s="63">
        <v>81507.0</v>
      </c>
      <c r="E114" s="63" t="s">
        <v>417</v>
      </c>
      <c r="F114" s="63">
        <v>10.0</v>
      </c>
      <c r="G114" s="63">
        <v>6.0</v>
      </c>
      <c r="I114" s="63">
        <v>16.0</v>
      </c>
      <c r="K114" s="63">
        <v>29.0</v>
      </c>
      <c r="L114" s="63">
        <v>34.0</v>
      </c>
      <c r="M114" s="63">
        <v>5.0</v>
      </c>
      <c r="N114" s="63">
        <v>76.0</v>
      </c>
      <c r="W114" s="64">
        <v>8.0</v>
      </c>
      <c r="X114" s="63">
        <v>5.0</v>
      </c>
      <c r="Y114" s="63">
        <v>10.0</v>
      </c>
      <c r="Z114" s="63">
        <v>10.0</v>
      </c>
      <c r="AD114" s="63">
        <v>8.0</v>
      </c>
      <c r="AG114" s="63">
        <v>10.0</v>
      </c>
      <c r="BM114" s="64"/>
    </row>
    <row r="115" ht="15.75" customHeight="1">
      <c r="A115" s="63" t="s">
        <v>609</v>
      </c>
      <c r="B115" s="63" t="s">
        <v>610</v>
      </c>
      <c r="C115" s="63" t="s">
        <v>611</v>
      </c>
      <c r="D115" s="63">
        <v>80446.0</v>
      </c>
      <c r="E115" s="63" t="s">
        <v>612</v>
      </c>
      <c r="F115" s="63">
        <v>6.0</v>
      </c>
      <c r="H115" s="63">
        <v>131.0</v>
      </c>
      <c r="I115" s="63">
        <v>42.0</v>
      </c>
      <c r="K115" s="63">
        <v>1.0</v>
      </c>
      <c r="N115" s="63">
        <v>47.0</v>
      </c>
      <c r="O115" s="63">
        <v>114.0</v>
      </c>
      <c r="U115" s="63">
        <v>2.0</v>
      </c>
      <c r="W115" s="64">
        <v>4.0</v>
      </c>
      <c r="AA115" s="63">
        <v>2.0</v>
      </c>
      <c r="AB115" s="63">
        <v>1.0</v>
      </c>
      <c r="AD115" s="63">
        <v>2.0</v>
      </c>
      <c r="AG115" s="63">
        <v>5.0</v>
      </c>
      <c r="AN115" s="63">
        <v>1.0</v>
      </c>
      <c r="AR115" s="63">
        <v>8.0</v>
      </c>
      <c r="AT115" s="63">
        <v>39.0</v>
      </c>
      <c r="AU115" s="63">
        <v>28.0</v>
      </c>
      <c r="AZ115" s="63">
        <v>44.0</v>
      </c>
      <c r="BA115" s="63">
        <v>10.0</v>
      </c>
      <c r="BG115" s="63">
        <v>3.0</v>
      </c>
      <c r="BI115" s="63">
        <v>7.0</v>
      </c>
      <c r="BK115" s="63">
        <v>89.0</v>
      </c>
      <c r="BM115" s="64"/>
      <c r="BN115" s="63">
        <v>4.0</v>
      </c>
      <c r="BO115" s="63">
        <v>6.0</v>
      </c>
      <c r="BT115" s="63">
        <v>9.0</v>
      </c>
      <c r="CA115" s="63">
        <v>1.0</v>
      </c>
      <c r="DA115" s="63">
        <v>1.0</v>
      </c>
      <c r="DH115" s="63">
        <v>1.0</v>
      </c>
      <c r="DR115" s="63">
        <v>30.0</v>
      </c>
      <c r="EO115" s="63">
        <v>1.0</v>
      </c>
      <c r="EP115" s="63">
        <v>1.0</v>
      </c>
      <c r="EU115" s="63">
        <v>2.0</v>
      </c>
      <c r="FF115" s="63">
        <v>90.0</v>
      </c>
    </row>
    <row r="116" ht="15.75" customHeight="1">
      <c r="A116" s="63" t="s">
        <v>613</v>
      </c>
      <c r="B116" s="63" t="s">
        <v>614</v>
      </c>
      <c r="C116" s="63" t="s">
        <v>615</v>
      </c>
      <c r="D116" s="63">
        <v>81501.0</v>
      </c>
      <c r="E116" s="63" t="s">
        <v>417</v>
      </c>
      <c r="K116" s="63">
        <v>96.0</v>
      </c>
      <c r="N116" s="63">
        <v>96.0</v>
      </c>
      <c r="W116" s="64"/>
      <c r="AD116" s="63">
        <v>6.0</v>
      </c>
      <c r="AG116" s="63">
        <v>6.0</v>
      </c>
      <c r="AU116" s="63">
        <v>13.0</v>
      </c>
      <c r="AW116" s="63">
        <v>16.0</v>
      </c>
      <c r="AZ116" s="63">
        <v>29.0</v>
      </c>
      <c r="BK116" s="63">
        <v>12.0</v>
      </c>
      <c r="BM116" s="64"/>
      <c r="BO116" s="63">
        <v>32.0</v>
      </c>
      <c r="BQ116" s="63">
        <v>83.0</v>
      </c>
      <c r="BT116" s="63">
        <v>114.0</v>
      </c>
      <c r="BY116" s="63">
        <v>1.0</v>
      </c>
    </row>
    <row r="117" ht="15.75" customHeight="1">
      <c r="A117" s="63" t="s">
        <v>616</v>
      </c>
      <c r="B117" s="63" t="s">
        <v>617</v>
      </c>
      <c r="C117" s="63" t="s">
        <v>618</v>
      </c>
      <c r="D117" s="63">
        <v>80831.0</v>
      </c>
      <c r="E117" s="63" t="s">
        <v>243</v>
      </c>
      <c r="F117" s="63">
        <v>4.0</v>
      </c>
      <c r="H117" s="63">
        <v>1.0</v>
      </c>
      <c r="I117" s="63">
        <v>28.0</v>
      </c>
      <c r="K117" s="63">
        <v>3.0</v>
      </c>
      <c r="L117" s="63">
        <v>26.0</v>
      </c>
      <c r="N117" s="63">
        <v>49.0</v>
      </c>
      <c r="O117" s="63">
        <v>1.0</v>
      </c>
      <c r="W117" s="64">
        <v>12.0</v>
      </c>
      <c r="BM117" s="64"/>
    </row>
    <row r="118" ht="15.75" customHeight="1">
      <c r="A118" s="63" t="s">
        <v>619</v>
      </c>
      <c r="B118" s="63" t="s">
        <v>620</v>
      </c>
      <c r="C118" s="63" t="s">
        <v>621</v>
      </c>
      <c r="D118" s="63">
        <v>81230.0</v>
      </c>
      <c r="E118" s="63" t="s">
        <v>384</v>
      </c>
      <c r="F118" s="63">
        <v>1.0</v>
      </c>
      <c r="G118" s="63">
        <v>4.0</v>
      </c>
      <c r="H118" s="63">
        <v>204.0</v>
      </c>
      <c r="I118" s="63">
        <v>40.0</v>
      </c>
      <c r="K118" s="63">
        <v>11.0</v>
      </c>
      <c r="L118" s="63">
        <v>86.0</v>
      </c>
      <c r="M118" s="63">
        <v>2.0</v>
      </c>
      <c r="N118" s="63">
        <v>148.0</v>
      </c>
      <c r="O118" s="63">
        <v>180.0</v>
      </c>
      <c r="S118" s="63">
        <v>2.0</v>
      </c>
      <c r="U118" s="63">
        <v>3.0</v>
      </c>
      <c r="W118" s="64">
        <v>8.0</v>
      </c>
      <c r="X118" s="63">
        <v>4.0</v>
      </c>
      <c r="AA118" s="63">
        <v>5.0</v>
      </c>
      <c r="AB118" s="63">
        <v>4.0</v>
      </c>
      <c r="AD118" s="63">
        <v>5.0</v>
      </c>
      <c r="AE118" s="63">
        <v>7.0</v>
      </c>
      <c r="AG118" s="63">
        <v>10.0</v>
      </c>
      <c r="AH118" s="63">
        <v>13.0</v>
      </c>
      <c r="AI118" s="63">
        <v>1.0</v>
      </c>
      <c r="AR118" s="63">
        <v>1.0</v>
      </c>
      <c r="AS118" s="63">
        <v>5.0</v>
      </c>
      <c r="AT118" s="63">
        <v>49.0</v>
      </c>
      <c r="AU118" s="63">
        <v>25.0</v>
      </c>
      <c r="AW118" s="63">
        <v>20.0</v>
      </c>
      <c r="AX118" s="63">
        <v>5.0</v>
      </c>
      <c r="AY118" s="63">
        <v>2.0</v>
      </c>
      <c r="AZ118" s="63">
        <v>77.0</v>
      </c>
      <c r="BA118" s="63">
        <v>23.0</v>
      </c>
      <c r="BD118" s="63">
        <v>1.0</v>
      </c>
      <c r="BI118" s="63">
        <v>4.0</v>
      </c>
      <c r="BJ118" s="63">
        <v>2.0</v>
      </c>
      <c r="BK118" s="63">
        <v>20.0</v>
      </c>
      <c r="BM118" s="64"/>
      <c r="BN118" s="63">
        <v>11.0</v>
      </c>
      <c r="BO118" s="63">
        <v>7.0</v>
      </c>
      <c r="BQ118" s="63">
        <v>59.0</v>
      </c>
      <c r="BT118" s="63">
        <v>72.0</v>
      </c>
      <c r="BU118" s="63">
        <v>3.0</v>
      </c>
      <c r="BY118" s="63">
        <v>1.0</v>
      </c>
      <c r="CC118" s="63">
        <v>1.0</v>
      </c>
      <c r="DA118" s="63">
        <v>1.0</v>
      </c>
      <c r="DB118" s="63">
        <v>4.0</v>
      </c>
      <c r="DG118" s="63">
        <v>5.0</v>
      </c>
      <c r="DR118" s="63">
        <v>10.0</v>
      </c>
    </row>
    <row r="119" ht="15.75" customHeight="1">
      <c r="A119" s="63" t="s">
        <v>622</v>
      </c>
      <c r="B119" s="63" t="s">
        <v>623</v>
      </c>
      <c r="C119" s="63" t="s">
        <v>624</v>
      </c>
      <c r="D119" s="63">
        <v>80107.0</v>
      </c>
      <c r="E119" s="63" t="s">
        <v>313</v>
      </c>
      <c r="F119" s="63">
        <v>3.0</v>
      </c>
      <c r="H119" s="63">
        <v>32.0</v>
      </c>
      <c r="N119" s="63">
        <v>8.0</v>
      </c>
      <c r="O119" s="63">
        <v>24.0</v>
      </c>
      <c r="W119" s="64">
        <v>35.0</v>
      </c>
      <c r="BM119" s="64"/>
    </row>
    <row r="120" ht="15.75" customHeight="1">
      <c r="A120" s="63" t="s">
        <v>625</v>
      </c>
      <c r="B120" s="63" t="s">
        <v>626</v>
      </c>
      <c r="C120" s="63" t="s">
        <v>627</v>
      </c>
      <c r="D120" s="63">
        <v>80904.0</v>
      </c>
      <c r="E120" s="63" t="s">
        <v>243</v>
      </c>
      <c r="W120" s="64"/>
      <c r="AR120" s="63">
        <v>21.0</v>
      </c>
      <c r="AS120" s="63">
        <v>12.0</v>
      </c>
      <c r="AT120" s="63">
        <v>289.0</v>
      </c>
      <c r="AU120" s="63">
        <v>121.0</v>
      </c>
      <c r="AW120" s="63">
        <v>4.0</v>
      </c>
      <c r="AZ120" s="63">
        <v>185.0</v>
      </c>
      <c r="BD120" s="63">
        <v>97.0</v>
      </c>
      <c r="BE120" s="63">
        <v>1.0</v>
      </c>
      <c r="BI120" s="63">
        <v>24.0</v>
      </c>
      <c r="BJ120" s="63">
        <v>10.0</v>
      </c>
      <c r="BK120" s="63">
        <v>22.0</v>
      </c>
      <c r="BL120" s="63">
        <v>36.0</v>
      </c>
      <c r="BM120" s="64">
        <v>6.0</v>
      </c>
      <c r="BN120" s="63">
        <v>190.0</v>
      </c>
      <c r="BO120" s="63">
        <v>55.0</v>
      </c>
      <c r="BQ120" s="63">
        <v>1.0</v>
      </c>
      <c r="BT120" s="63">
        <v>274.0</v>
      </c>
      <c r="BX120" s="63">
        <v>40.0</v>
      </c>
      <c r="BY120" s="63">
        <v>2.0</v>
      </c>
      <c r="CC120" s="63">
        <v>56.0</v>
      </c>
      <c r="CD120" s="63">
        <v>10.0</v>
      </c>
    </row>
    <row r="121" ht="15.75" customHeight="1">
      <c r="A121" s="63" t="s">
        <v>628</v>
      </c>
      <c r="B121" s="63" t="s">
        <v>629</v>
      </c>
      <c r="C121" s="63" t="s">
        <v>630</v>
      </c>
      <c r="D121" s="63">
        <v>80525.0</v>
      </c>
      <c r="E121" s="63" t="s">
        <v>275</v>
      </c>
      <c r="F121" s="63">
        <v>5.0</v>
      </c>
      <c r="G121" s="63">
        <v>3.0</v>
      </c>
      <c r="H121" s="63">
        <v>3.0</v>
      </c>
      <c r="I121" s="63">
        <v>3.0</v>
      </c>
      <c r="L121" s="63">
        <v>52.0</v>
      </c>
      <c r="N121" s="63">
        <v>58.0</v>
      </c>
      <c r="O121" s="63">
        <v>3.0</v>
      </c>
      <c r="W121" s="64">
        <v>2.0</v>
      </c>
      <c r="AE121" s="63">
        <v>9.0</v>
      </c>
      <c r="AG121" s="63">
        <v>8.0</v>
      </c>
      <c r="AP121" s="63">
        <v>1.0</v>
      </c>
      <c r="BM121" s="64"/>
    </row>
    <row r="122" ht="15.75" customHeight="1">
      <c r="A122" s="63" t="s">
        <v>631</v>
      </c>
      <c r="B122" s="63" t="s">
        <v>632</v>
      </c>
      <c r="C122" s="63" t="s">
        <v>633</v>
      </c>
      <c r="D122" s="63">
        <v>81645.0</v>
      </c>
      <c r="E122" s="63" t="s">
        <v>539</v>
      </c>
      <c r="W122" s="64"/>
      <c r="BM122" s="64"/>
      <c r="CE122" s="63">
        <v>66.0</v>
      </c>
      <c r="CR122" s="63">
        <v>2.0</v>
      </c>
      <c r="CV122" s="63">
        <v>64.0</v>
      </c>
      <c r="CX122" s="63">
        <v>365.0</v>
      </c>
    </row>
    <row r="123" ht="15.75" customHeight="1">
      <c r="A123" s="63" t="s">
        <v>634</v>
      </c>
      <c r="B123" s="63" t="s">
        <v>635</v>
      </c>
      <c r="C123" s="63" t="s">
        <v>636</v>
      </c>
      <c r="D123" s="63">
        <v>80908.0</v>
      </c>
      <c r="E123" s="63" t="s">
        <v>243</v>
      </c>
      <c r="F123" s="63">
        <v>1.0</v>
      </c>
      <c r="G123" s="63">
        <v>1.0</v>
      </c>
      <c r="I123" s="63">
        <v>6.0</v>
      </c>
      <c r="O123" s="63">
        <v>6.0</v>
      </c>
      <c r="W123" s="64"/>
      <c r="AR123" s="63">
        <v>2.0</v>
      </c>
      <c r="AS123" s="63">
        <v>2.0</v>
      </c>
      <c r="AU123" s="63">
        <v>11.0</v>
      </c>
      <c r="AZ123" s="63">
        <v>2.0</v>
      </c>
      <c r="BA123" s="63">
        <v>5.0</v>
      </c>
      <c r="BI123" s="63">
        <v>4.0</v>
      </c>
      <c r="BJ123" s="63">
        <v>4.0</v>
      </c>
      <c r="BK123" s="63">
        <v>60.0</v>
      </c>
      <c r="BM123" s="64"/>
    </row>
    <row r="124" ht="15.75" customHeight="1">
      <c r="A124" s="63" t="s">
        <v>637</v>
      </c>
      <c r="B124" s="63" t="s">
        <v>638</v>
      </c>
      <c r="C124" s="63" t="s">
        <v>639</v>
      </c>
      <c r="D124" s="63">
        <v>80103.0</v>
      </c>
      <c r="E124" s="63" t="s">
        <v>350</v>
      </c>
      <c r="F124" s="63">
        <v>9.0</v>
      </c>
      <c r="S124" s="63">
        <v>1.0</v>
      </c>
      <c r="W124" s="64">
        <v>8.0</v>
      </c>
      <c r="AR124" s="63">
        <v>41.0</v>
      </c>
      <c r="AU124" s="63">
        <v>5.0</v>
      </c>
      <c r="AW124" s="63">
        <v>3.0</v>
      </c>
      <c r="AX124" s="63">
        <v>4.0</v>
      </c>
      <c r="AY124" s="63">
        <v>1.0</v>
      </c>
      <c r="AZ124" s="63">
        <v>4.0</v>
      </c>
      <c r="BE124" s="63">
        <v>7.0</v>
      </c>
      <c r="BF124" s="63">
        <v>1.0</v>
      </c>
      <c r="BI124" s="63">
        <v>42.0</v>
      </c>
      <c r="BK124" s="63">
        <v>360.0</v>
      </c>
      <c r="BM124" s="64"/>
      <c r="BQ124" s="63">
        <v>3.0</v>
      </c>
      <c r="BT124" s="63">
        <v>1.0</v>
      </c>
      <c r="CC124" s="63">
        <v>2.0</v>
      </c>
      <c r="FG124" s="63">
        <v>41.0</v>
      </c>
      <c r="FK124" s="63">
        <v>19.0</v>
      </c>
      <c r="FM124" s="63">
        <v>13.0</v>
      </c>
      <c r="FP124" s="63">
        <v>1.0</v>
      </c>
      <c r="FR124" s="63">
        <v>2.0</v>
      </c>
      <c r="FU124" s="63">
        <v>17.0</v>
      </c>
      <c r="FY124" s="63">
        <v>53.0</v>
      </c>
      <c r="GA124" s="63">
        <v>348.0</v>
      </c>
    </row>
    <row r="125" ht="15.75" customHeight="1">
      <c r="A125" s="63" t="s">
        <v>640</v>
      </c>
      <c r="B125" s="63" t="s">
        <v>641</v>
      </c>
      <c r="C125" s="63" t="s">
        <v>642</v>
      </c>
      <c r="D125" s="63">
        <v>80016.0</v>
      </c>
      <c r="E125" s="63" t="s">
        <v>350</v>
      </c>
      <c r="F125" s="63">
        <v>23.0</v>
      </c>
      <c r="G125" s="63">
        <v>23.0</v>
      </c>
      <c r="I125" s="63">
        <v>31.0</v>
      </c>
      <c r="K125" s="63">
        <v>14.0</v>
      </c>
      <c r="L125" s="63">
        <v>2.0</v>
      </c>
      <c r="N125" s="63">
        <v>48.0</v>
      </c>
      <c r="U125" s="63">
        <v>1.0</v>
      </c>
      <c r="W125" s="64">
        <v>21.0</v>
      </c>
      <c r="X125" s="63">
        <v>21.0</v>
      </c>
      <c r="BM125" s="64"/>
    </row>
    <row r="126" ht="15.75" customHeight="1">
      <c r="A126" s="63" t="s">
        <v>643</v>
      </c>
      <c r="B126" s="63" t="s">
        <v>644</v>
      </c>
      <c r="C126" s="63" t="s">
        <v>645</v>
      </c>
      <c r="D126" s="63">
        <v>80610.0</v>
      </c>
      <c r="E126" s="63" t="s">
        <v>258</v>
      </c>
      <c r="H126" s="63">
        <v>33.0</v>
      </c>
      <c r="I126" s="63">
        <v>2.0</v>
      </c>
      <c r="J126" s="63">
        <v>2.0</v>
      </c>
      <c r="N126" s="63">
        <v>13.0</v>
      </c>
      <c r="O126" s="63">
        <v>16.0</v>
      </c>
      <c r="U126" s="63">
        <v>2.0</v>
      </c>
      <c r="V126" s="63">
        <v>2.0</v>
      </c>
      <c r="W126" s="64"/>
      <c r="AT126" s="63">
        <v>14.0</v>
      </c>
      <c r="AZ126" s="63">
        <v>6.0</v>
      </c>
      <c r="BB126" s="63">
        <v>8.0</v>
      </c>
      <c r="BK126" s="63">
        <v>14.0</v>
      </c>
      <c r="BM126" s="64"/>
      <c r="EO126" s="63">
        <v>1.0</v>
      </c>
      <c r="EU126" s="63">
        <v>1.0</v>
      </c>
      <c r="FF126" s="63">
        <v>20.0</v>
      </c>
    </row>
    <row r="127" ht="15.75" customHeight="1">
      <c r="A127" s="63" t="s">
        <v>646</v>
      </c>
      <c r="B127" s="63" t="s">
        <v>647</v>
      </c>
      <c r="C127" s="63" t="s">
        <v>648</v>
      </c>
      <c r="D127" s="63">
        <v>80209.0</v>
      </c>
      <c r="E127" s="63" t="s">
        <v>421</v>
      </c>
      <c r="F127" s="63">
        <v>227.0</v>
      </c>
      <c r="G127" s="63">
        <v>49.0</v>
      </c>
      <c r="H127" s="63">
        <v>236.0</v>
      </c>
      <c r="I127" s="63">
        <v>40.0</v>
      </c>
      <c r="K127" s="63">
        <v>227.0</v>
      </c>
      <c r="L127" s="63">
        <v>187.0</v>
      </c>
      <c r="N127" s="63">
        <v>227.0</v>
      </c>
      <c r="S127" s="63">
        <v>2.0</v>
      </c>
      <c r="U127" s="63">
        <v>3.0</v>
      </c>
      <c r="W127" s="64"/>
      <c r="X127" s="63">
        <v>49.0</v>
      </c>
      <c r="BM127" s="64"/>
    </row>
    <row r="128" ht="15.75" customHeight="1">
      <c r="A128" s="63" t="s">
        <v>649</v>
      </c>
      <c r="B128" s="63" t="s">
        <v>650</v>
      </c>
      <c r="C128" s="63" t="s">
        <v>651</v>
      </c>
      <c r="D128" s="63">
        <v>80226.0</v>
      </c>
      <c r="E128" s="63" t="s">
        <v>239</v>
      </c>
      <c r="F128" s="63">
        <v>180.0</v>
      </c>
      <c r="G128" s="63">
        <v>180.0</v>
      </c>
      <c r="L128" s="63">
        <v>180.0</v>
      </c>
      <c r="N128" s="63">
        <v>180.0</v>
      </c>
      <c r="W128" s="64">
        <v>180.0</v>
      </c>
      <c r="X128" s="63">
        <v>180.0</v>
      </c>
      <c r="Y128" s="63">
        <v>39.0</v>
      </c>
      <c r="Z128" s="63">
        <v>39.0</v>
      </c>
      <c r="AE128" s="63">
        <v>39.0</v>
      </c>
      <c r="AG128" s="63">
        <v>39.0</v>
      </c>
      <c r="AP128" s="63">
        <v>39.0</v>
      </c>
      <c r="AQ128" s="63">
        <v>39.0</v>
      </c>
      <c r="BM128" s="64"/>
    </row>
    <row r="129" ht="15.75" customHeight="1">
      <c r="A129" s="63" t="s">
        <v>652</v>
      </c>
      <c r="B129" s="63" t="s">
        <v>653</v>
      </c>
      <c r="C129" s="63" t="s">
        <v>654</v>
      </c>
      <c r="D129" s="63">
        <v>81422.0</v>
      </c>
      <c r="E129" s="63" t="s">
        <v>399</v>
      </c>
      <c r="H129" s="63">
        <v>22.0</v>
      </c>
      <c r="I129" s="63">
        <v>2.0</v>
      </c>
      <c r="N129" s="63">
        <v>3.0</v>
      </c>
      <c r="O129" s="63">
        <v>17.0</v>
      </c>
      <c r="P129" s="63">
        <v>4.0</v>
      </c>
      <c r="W129" s="64"/>
      <c r="AA129" s="63">
        <v>8.0</v>
      </c>
      <c r="AB129" s="63">
        <v>5.0</v>
      </c>
      <c r="AG129" s="63">
        <v>8.0</v>
      </c>
      <c r="AH129" s="63">
        <v>2.0</v>
      </c>
      <c r="AI129" s="63">
        <v>3.0</v>
      </c>
      <c r="AT129" s="63">
        <v>7.0</v>
      </c>
      <c r="AU129" s="63">
        <v>4.0</v>
      </c>
      <c r="AZ129" s="63">
        <v>3.0</v>
      </c>
      <c r="BB129" s="63">
        <v>7.0</v>
      </c>
      <c r="BI129" s="63">
        <v>1.0</v>
      </c>
      <c r="BJ129" s="63">
        <v>1.0</v>
      </c>
      <c r="BK129" s="63">
        <v>35.0</v>
      </c>
      <c r="BL129" s="63">
        <v>3.0</v>
      </c>
      <c r="BM129" s="64">
        <v>3.0</v>
      </c>
      <c r="BN129" s="63">
        <v>33.0</v>
      </c>
      <c r="BO129" s="63">
        <v>9.0</v>
      </c>
      <c r="BR129" s="63">
        <v>3.0</v>
      </c>
      <c r="BT129" s="63">
        <v>15.0</v>
      </c>
      <c r="BV129" s="63">
        <v>19.0</v>
      </c>
      <c r="BY129" s="63">
        <v>3.0</v>
      </c>
      <c r="BZ129" s="63">
        <v>1.0</v>
      </c>
      <c r="CA129" s="63">
        <v>1.0</v>
      </c>
      <c r="CC129" s="63">
        <v>4.0</v>
      </c>
      <c r="CD129" s="63">
        <v>4.0</v>
      </c>
      <c r="FJ129" s="63">
        <v>1.0</v>
      </c>
      <c r="FK129" s="63">
        <v>5.0</v>
      </c>
      <c r="FP129" s="63">
        <v>2.0</v>
      </c>
      <c r="FQ129" s="63">
        <v>1.0</v>
      </c>
      <c r="FR129" s="63">
        <v>2.0</v>
      </c>
      <c r="FU129" s="63">
        <v>1.0</v>
      </c>
      <c r="GA129" s="63">
        <v>30.0</v>
      </c>
    </row>
    <row r="130" ht="15.75" customHeight="1">
      <c r="A130" s="63" t="s">
        <v>655</v>
      </c>
      <c r="B130" s="63" t="s">
        <v>656</v>
      </c>
      <c r="C130" s="63" t="s">
        <v>657</v>
      </c>
      <c r="D130" s="63">
        <v>80439.0</v>
      </c>
      <c r="E130" s="63" t="s">
        <v>482</v>
      </c>
      <c r="F130" s="63">
        <v>18.0</v>
      </c>
      <c r="G130" s="63">
        <v>18.0</v>
      </c>
      <c r="I130" s="63">
        <v>8.0</v>
      </c>
      <c r="K130" s="63">
        <v>11.0</v>
      </c>
      <c r="L130" s="63">
        <v>29.0</v>
      </c>
      <c r="N130" s="63">
        <v>47.0</v>
      </c>
      <c r="S130" s="63">
        <v>2.0</v>
      </c>
      <c r="W130" s="64">
        <v>17.0</v>
      </c>
      <c r="X130" s="63">
        <v>17.0</v>
      </c>
      <c r="Y130" s="63">
        <v>27.0</v>
      </c>
      <c r="Z130" s="63">
        <v>27.0</v>
      </c>
      <c r="AD130" s="63">
        <v>52.0</v>
      </c>
      <c r="AE130" s="63">
        <v>46.0</v>
      </c>
      <c r="AG130" s="63">
        <v>93.0</v>
      </c>
      <c r="AL130" s="63">
        <v>3.0</v>
      </c>
      <c r="AP130" s="63">
        <v>29.0</v>
      </c>
      <c r="AQ130" s="63">
        <v>29.0</v>
      </c>
      <c r="BM130" s="64"/>
    </row>
    <row r="131" ht="15.75" customHeight="1">
      <c r="A131" s="63" t="s">
        <v>658</v>
      </c>
      <c r="B131" s="63" t="s">
        <v>659</v>
      </c>
      <c r="C131" s="63" t="s">
        <v>660</v>
      </c>
      <c r="D131" s="63">
        <v>80301.0</v>
      </c>
      <c r="E131" s="63" t="s">
        <v>279</v>
      </c>
      <c r="F131" s="63">
        <v>45.0</v>
      </c>
      <c r="G131" s="63">
        <v>4.0</v>
      </c>
      <c r="H131" s="63">
        <v>832.0</v>
      </c>
      <c r="I131" s="63">
        <v>1137.0</v>
      </c>
      <c r="J131" s="63">
        <v>57.0</v>
      </c>
      <c r="K131" s="63">
        <v>258.0</v>
      </c>
      <c r="L131" s="63">
        <v>1055.0</v>
      </c>
      <c r="M131" s="63">
        <v>83.0</v>
      </c>
      <c r="N131" s="63">
        <v>2357.0</v>
      </c>
      <c r="O131" s="63">
        <v>753.0</v>
      </c>
      <c r="P131" s="63">
        <v>56.0</v>
      </c>
      <c r="Q131" s="63">
        <v>8.0</v>
      </c>
      <c r="R131" s="63">
        <v>48.0</v>
      </c>
      <c r="S131" s="63">
        <v>6.0</v>
      </c>
      <c r="T131" s="63">
        <v>1.0</v>
      </c>
      <c r="U131" s="63">
        <v>198.0</v>
      </c>
      <c r="V131" s="63">
        <v>57.0</v>
      </c>
      <c r="W131" s="64">
        <v>34.0</v>
      </c>
      <c r="X131" s="63">
        <v>6.0</v>
      </c>
      <c r="Y131" s="63">
        <v>2.0</v>
      </c>
      <c r="Z131" s="63">
        <v>4.0</v>
      </c>
      <c r="AA131" s="63">
        <v>25.0</v>
      </c>
      <c r="AB131" s="63">
        <v>115.0</v>
      </c>
      <c r="AC131" s="63">
        <v>7.0</v>
      </c>
      <c r="AD131" s="63">
        <v>48.0</v>
      </c>
      <c r="AE131" s="63">
        <v>827.0</v>
      </c>
      <c r="AF131" s="63">
        <v>11.0</v>
      </c>
      <c r="AG131" s="63">
        <v>928.0</v>
      </c>
      <c r="AH131" s="63">
        <v>6.0</v>
      </c>
      <c r="AK131" s="63">
        <v>2.0</v>
      </c>
      <c r="AL131" s="63">
        <v>8.0</v>
      </c>
      <c r="AN131" s="63">
        <v>8.0</v>
      </c>
      <c r="AO131" s="63">
        <v>7.0</v>
      </c>
      <c r="AP131" s="63">
        <v>1.0</v>
      </c>
      <c r="AQ131" s="63">
        <v>20.0</v>
      </c>
      <c r="AR131" s="63">
        <v>31.0</v>
      </c>
      <c r="AS131" s="63">
        <v>2.0</v>
      </c>
      <c r="AT131" s="63">
        <v>411.0</v>
      </c>
      <c r="AU131" s="63">
        <v>829.0</v>
      </c>
      <c r="AV131" s="63">
        <v>55.0</v>
      </c>
      <c r="AW131" s="63">
        <v>102.0</v>
      </c>
      <c r="AX131" s="63">
        <v>90.0</v>
      </c>
      <c r="AY131" s="63">
        <v>24.0</v>
      </c>
      <c r="AZ131" s="63">
        <v>1050.0</v>
      </c>
      <c r="BA131" s="63">
        <v>224.0</v>
      </c>
      <c r="BB131" s="63">
        <v>6.0</v>
      </c>
      <c r="BD131" s="63">
        <v>16.0</v>
      </c>
      <c r="BE131" s="63">
        <v>6.0</v>
      </c>
      <c r="BF131" s="63">
        <v>1.0</v>
      </c>
      <c r="BG131" s="63">
        <v>195.0</v>
      </c>
      <c r="BH131" s="63">
        <v>55.0</v>
      </c>
      <c r="BI131" s="63">
        <v>38.0</v>
      </c>
      <c r="BJ131" s="63">
        <v>6.0</v>
      </c>
      <c r="BK131" s="63">
        <v>12.4</v>
      </c>
      <c r="BL131" s="63">
        <v>8.0</v>
      </c>
      <c r="BM131" s="64">
        <v>15.0</v>
      </c>
      <c r="BN131" s="63">
        <v>160.0</v>
      </c>
      <c r="BO131" s="63">
        <v>195.0</v>
      </c>
      <c r="BP131" s="63">
        <v>1.0</v>
      </c>
      <c r="BQ131" s="63">
        <v>144.0</v>
      </c>
      <c r="BR131" s="63">
        <v>78.0</v>
      </c>
      <c r="BT131" s="63">
        <v>494.0</v>
      </c>
      <c r="BU131" s="63">
        <v>5.0</v>
      </c>
      <c r="BY131" s="63">
        <v>23.0</v>
      </c>
      <c r="CA131" s="63">
        <v>17.0</v>
      </c>
      <c r="CB131" s="63">
        <v>1.0</v>
      </c>
      <c r="CC131" s="63">
        <v>9.0</v>
      </c>
      <c r="CD131" s="63">
        <v>5.0</v>
      </c>
      <c r="CG131" s="63">
        <v>25.0</v>
      </c>
      <c r="CH131" s="63">
        <v>45.0</v>
      </c>
      <c r="CI131" s="63">
        <v>4.0</v>
      </c>
      <c r="CM131" s="63">
        <v>43.0</v>
      </c>
      <c r="CN131" s="63">
        <v>1.0</v>
      </c>
      <c r="CO131" s="63">
        <v>23.0</v>
      </c>
      <c r="CT131" s="63">
        <v>3.0</v>
      </c>
      <c r="CU131" s="63">
        <v>4.0</v>
      </c>
      <c r="CX131" s="63">
        <v>8.6</v>
      </c>
      <c r="CY131" s="63">
        <v>13.0</v>
      </c>
      <c r="CZ131" s="63">
        <v>3.0</v>
      </c>
      <c r="DA131" s="63">
        <v>22.0</v>
      </c>
      <c r="DB131" s="63">
        <v>248.0</v>
      </c>
      <c r="DC131" s="63">
        <v>11.0</v>
      </c>
      <c r="DD131" s="63">
        <v>3.0</v>
      </c>
      <c r="DF131" s="63">
        <v>6.0</v>
      </c>
      <c r="DG131" s="63">
        <v>243.0</v>
      </c>
      <c r="DH131" s="63">
        <v>6.0</v>
      </c>
      <c r="DI131" s="63">
        <v>10.0</v>
      </c>
      <c r="DK131" s="63">
        <v>2.0</v>
      </c>
      <c r="DL131" s="63">
        <v>5.0</v>
      </c>
      <c r="DN131" s="63">
        <v>9.0</v>
      </c>
      <c r="DO131" s="63">
        <v>11.0</v>
      </c>
      <c r="DP131" s="63">
        <v>17.0</v>
      </c>
      <c r="DQ131" s="63">
        <v>1.0</v>
      </c>
      <c r="DR131" s="63">
        <v>19.0</v>
      </c>
      <c r="DU131" s="63">
        <v>3.0</v>
      </c>
      <c r="DV131" s="63">
        <v>7.0</v>
      </c>
      <c r="EA131" s="63">
        <v>2.0</v>
      </c>
      <c r="EB131" s="63">
        <v>4.0</v>
      </c>
      <c r="EC131" s="63">
        <v>4.0</v>
      </c>
      <c r="EL131" s="63">
        <v>4.4</v>
      </c>
      <c r="EM131" s="63">
        <v>1.0</v>
      </c>
      <c r="EO131" s="63">
        <v>20.0</v>
      </c>
      <c r="EP131" s="63">
        <v>91.0</v>
      </c>
      <c r="EQ131" s="63">
        <v>3.0</v>
      </c>
      <c r="ER131" s="63">
        <v>1.0</v>
      </c>
      <c r="EU131" s="63">
        <v>82.0</v>
      </c>
      <c r="EV131" s="63">
        <v>9.0</v>
      </c>
      <c r="EW131" s="63">
        <v>16.0</v>
      </c>
      <c r="EZ131" s="63">
        <v>3.0</v>
      </c>
      <c r="FB131" s="63">
        <v>5.0</v>
      </c>
      <c r="FC131" s="63">
        <v>3.0</v>
      </c>
      <c r="FD131" s="63">
        <v>2.0</v>
      </c>
      <c r="FF131" s="63">
        <v>9.8</v>
      </c>
    </row>
    <row r="132" ht="15.75" customHeight="1">
      <c r="A132" s="61" t="s">
        <v>661</v>
      </c>
      <c r="B132" s="62" t="s">
        <v>662</v>
      </c>
      <c r="C132" s="61" t="s">
        <v>663</v>
      </c>
      <c r="D132" s="61">
        <v>81212.0</v>
      </c>
      <c r="E132" s="61" t="s">
        <v>298</v>
      </c>
      <c r="F132" s="61">
        <v>31.0</v>
      </c>
      <c r="G132" s="61"/>
      <c r="H132" s="61">
        <v>386.0</v>
      </c>
      <c r="I132" s="61">
        <v>193.0</v>
      </c>
      <c r="J132" s="61"/>
      <c r="K132" s="61">
        <v>3.0</v>
      </c>
      <c r="L132" s="61"/>
      <c r="M132" s="61">
        <v>450.0</v>
      </c>
      <c r="N132" s="61">
        <v>333.0</v>
      </c>
      <c r="O132" s="61">
        <v>532.0</v>
      </c>
      <c r="P132" s="61">
        <v>141.0</v>
      </c>
      <c r="Q132" s="61"/>
      <c r="R132" s="61"/>
      <c r="S132" s="61">
        <v>4.0</v>
      </c>
      <c r="T132" s="61"/>
      <c r="U132" s="61">
        <v>7.0</v>
      </c>
      <c r="V132" s="61">
        <v>7.0</v>
      </c>
      <c r="W132" s="61">
        <v>39.0</v>
      </c>
      <c r="X132" s="61"/>
      <c r="Y132" s="61">
        <v>3.0</v>
      </c>
      <c r="Z132" s="61"/>
      <c r="AA132" s="61">
        <v>65.0</v>
      </c>
      <c r="AB132" s="61">
        <v>27.0</v>
      </c>
      <c r="AC132" s="61"/>
      <c r="AD132" s="61"/>
      <c r="AE132" s="61"/>
      <c r="AF132" s="61">
        <v>24.0</v>
      </c>
      <c r="AG132" s="61">
        <v>87.0</v>
      </c>
      <c r="AH132" s="61">
        <v>17.0</v>
      </c>
      <c r="AI132" s="61">
        <v>2.0</v>
      </c>
      <c r="AJ132" s="61"/>
      <c r="AK132" s="61"/>
      <c r="AL132" s="61">
        <v>2.0</v>
      </c>
      <c r="AM132" s="61"/>
      <c r="AN132" s="61">
        <v>1.0</v>
      </c>
      <c r="AO132" s="61"/>
      <c r="AP132" s="61">
        <v>10.0</v>
      </c>
      <c r="AQ132" s="61"/>
      <c r="AR132" s="61">
        <v>28.0</v>
      </c>
      <c r="AS132" s="61">
        <v>0.0</v>
      </c>
      <c r="AT132" s="61">
        <v>176.0</v>
      </c>
      <c r="AU132" s="61">
        <v>120.0</v>
      </c>
      <c r="AV132" s="61"/>
      <c r="AW132" s="61"/>
      <c r="AX132" s="61"/>
      <c r="AY132" s="61">
        <v>66.0</v>
      </c>
      <c r="AZ132" s="61">
        <v>169.0</v>
      </c>
      <c r="BA132" s="61">
        <v>28.0</v>
      </c>
      <c r="BB132" s="61">
        <v>121.0</v>
      </c>
      <c r="BC132" s="61"/>
      <c r="BD132" s="61"/>
      <c r="BE132" s="61">
        <v>20.0</v>
      </c>
      <c r="BF132" s="61">
        <v>1.0</v>
      </c>
      <c r="BG132" s="61">
        <v>9.0</v>
      </c>
      <c r="BH132" s="61">
        <v>1.0</v>
      </c>
      <c r="BI132" s="61">
        <v>41.0</v>
      </c>
      <c r="BJ132" s="61"/>
      <c r="BK132" s="61">
        <v>0.73</v>
      </c>
      <c r="BL132" s="61">
        <v>6.0</v>
      </c>
      <c r="BM132" s="61"/>
      <c r="BN132" s="61">
        <v>256.0</v>
      </c>
      <c r="BO132" s="61">
        <v>69.0</v>
      </c>
      <c r="BP132" s="61"/>
      <c r="BQ132" s="61"/>
      <c r="BR132" s="61"/>
      <c r="BS132" s="61">
        <v>25.0</v>
      </c>
      <c r="BT132" s="61">
        <v>73.0</v>
      </c>
      <c r="BU132" s="61">
        <v>1.0</v>
      </c>
      <c r="BV132" s="61">
        <v>199.0</v>
      </c>
      <c r="BW132" s="61"/>
      <c r="BX132" s="61"/>
      <c r="BY132" s="61">
        <v>63.0</v>
      </c>
      <c r="BZ132" s="61"/>
      <c r="CA132" s="61">
        <v>6.0</v>
      </c>
      <c r="CB132" s="61"/>
      <c r="CC132" s="61">
        <v>14.0</v>
      </c>
      <c r="CD132" s="61"/>
      <c r="CE132" s="61"/>
      <c r="CF132" s="61"/>
      <c r="CG132" s="61">
        <v>1.0</v>
      </c>
      <c r="CH132" s="61">
        <v>2.0</v>
      </c>
      <c r="CI132" s="61"/>
      <c r="CJ132" s="61"/>
      <c r="CK132" s="61"/>
      <c r="CL132" s="61"/>
      <c r="CM132" s="61">
        <v>3.0</v>
      </c>
      <c r="CN132" s="61"/>
      <c r="CO132" s="61"/>
      <c r="CP132" s="61"/>
      <c r="CQ132" s="61"/>
      <c r="CR132" s="61"/>
      <c r="CS132" s="61"/>
      <c r="CT132" s="61"/>
      <c r="CU132" s="61"/>
      <c r="CV132" s="61"/>
      <c r="CW132" s="61"/>
      <c r="CX132" s="61">
        <v>4.33</v>
      </c>
      <c r="CY132" s="61"/>
      <c r="CZ132" s="61"/>
      <c r="DA132" s="61"/>
      <c r="DB132" s="61">
        <v>2.0</v>
      </c>
      <c r="DC132" s="61"/>
      <c r="DD132" s="61"/>
      <c r="DE132" s="61"/>
      <c r="DF132" s="61"/>
      <c r="DG132" s="61">
        <v>2.0</v>
      </c>
      <c r="DH132" s="61"/>
      <c r="DI132" s="61"/>
      <c r="DJ132" s="61"/>
      <c r="DK132" s="61"/>
      <c r="DL132" s="61"/>
      <c r="DM132" s="61"/>
      <c r="DN132" s="61"/>
      <c r="DO132" s="61"/>
      <c r="DP132" s="61"/>
      <c r="DQ132" s="61"/>
      <c r="DR132" s="61">
        <v>4.75</v>
      </c>
      <c r="DS132" s="61"/>
      <c r="DT132" s="61"/>
      <c r="DU132" s="61"/>
      <c r="DV132" s="61"/>
      <c r="DW132" s="61"/>
      <c r="DX132" s="61"/>
      <c r="DY132" s="61"/>
      <c r="DZ132" s="61"/>
      <c r="EA132" s="61"/>
      <c r="EB132" s="61"/>
      <c r="EC132" s="61"/>
      <c r="ED132" s="61"/>
      <c r="EE132" s="61"/>
      <c r="EF132" s="61"/>
      <c r="EG132" s="61"/>
      <c r="EH132" s="61"/>
      <c r="EI132" s="61"/>
      <c r="EJ132" s="61"/>
      <c r="EK132" s="61"/>
      <c r="EL132" s="61"/>
      <c r="EM132" s="61">
        <v>3.0</v>
      </c>
      <c r="EN132" s="61"/>
      <c r="EO132" s="61">
        <v>3.0</v>
      </c>
      <c r="EP132" s="61">
        <v>5.0</v>
      </c>
      <c r="EQ132" s="61"/>
      <c r="ER132" s="61"/>
      <c r="ES132" s="61"/>
      <c r="ET132" s="61"/>
      <c r="EU132" s="61">
        <v>1.0</v>
      </c>
      <c r="EV132" s="61"/>
      <c r="EW132" s="61">
        <v>10.0</v>
      </c>
      <c r="EX132" s="61"/>
      <c r="EY132" s="61"/>
      <c r="EZ132" s="61"/>
      <c r="FA132" s="61"/>
      <c r="FB132" s="61"/>
      <c r="FC132" s="61"/>
      <c r="FD132" s="61"/>
      <c r="FE132" s="61"/>
      <c r="FF132" s="61">
        <v>16.3999999999999</v>
      </c>
      <c r="FG132" s="61"/>
      <c r="FH132" s="61"/>
      <c r="FI132" s="61"/>
      <c r="FJ132" s="61"/>
      <c r="FK132" s="61"/>
      <c r="FL132" s="61"/>
      <c r="FM132" s="61"/>
      <c r="FN132" s="61"/>
      <c r="FO132" s="61">
        <v>2.0</v>
      </c>
      <c r="FP132" s="61">
        <v>1.0</v>
      </c>
      <c r="FQ132" s="61">
        <v>1.0</v>
      </c>
      <c r="FR132" s="61"/>
      <c r="FS132" s="61"/>
      <c r="FT132" s="61"/>
      <c r="FU132" s="61"/>
      <c r="FV132" s="61"/>
      <c r="FW132" s="61"/>
      <c r="FX132" s="61"/>
      <c r="FY132" s="61"/>
      <c r="FZ132" s="61"/>
      <c r="GA132" s="61"/>
    </row>
    <row r="133" ht="15.75" customHeight="1">
      <c r="A133" s="63" t="s">
        <v>664</v>
      </c>
      <c r="B133" s="63" t="s">
        <v>665</v>
      </c>
      <c r="C133" s="63" t="s">
        <v>666</v>
      </c>
      <c r="D133" s="63">
        <v>81147.0</v>
      </c>
      <c r="E133" s="63" t="s">
        <v>667</v>
      </c>
      <c r="F133" s="63">
        <v>17.0</v>
      </c>
      <c r="H133" s="63">
        <v>183.0</v>
      </c>
      <c r="I133" s="63">
        <v>45.0</v>
      </c>
      <c r="K133" s="63">
        <v>3.0</v>
      </c>
      <c r="L133" s="63">
        <v>10.0</v>
      </c>
      <c r="M133" s="63">
        <v>19.0</v>
      </c>
      <c r="N133" s="63">
        <v>102.0</v>
      </c>
      <c r="O133" s="63">
        <v>144.0</v>
      </c>
      <c r="P133" s="63">
        <v>7.0</v>
      </c>
      <c r="S133" s="63">
        <v>1.0</v>
      </c>
      <c r="U133" s="63">
        <v>2.0</v>
      </c>
      <c r="W133" s="64">
        <v>21.0</v>
      </c>
      <c r="X133" s="63">
        <v>3.0</v>
      </c>
      <c r="Y133" s="63">
        <v>6.0</v>
      </c>
      <c r="AA133" s="63">
        <v>64.0</v>
      </c>
      <c r="AB133" s="63">
        <v>34.0</v>
      </c>
      <c r="AE133" s="63">
        <v>3.0</v>
      </c>
      <c r="AF133" s="63">
        <v>4.0</v>
      </c>
      <c r="AG133" s="63">
        <v>63.0</v>
      </c>
      <c r="AH133" s="63">
        <v>14.0</v>
      </c>
      <c r="AI133" s="63">
        <v>20.0</v>
      </c>
      <c r="AJ133" s="63">
        <v>2.0</v>
      </c>
      <c r="AL133" s="63">
        <v>2.0</v>
      </c>
      <c r="AP133" s="63">
        <v>10.0</v>
      </c>
      <c r="AQ133" s="63">
        <v>3.0</v>
      </c>
      <c r="AR133" s="63">
        <v>19.0</v>
      </c>
      <c r="AT133" s="63">
        <v>36.0</v>
      </c>
      <c r="AU133" s="63">
        <v>33.0</v>
      </c>
      <c r="AY133" s="63">
        <v>105.0</v>
      </c>
      <c r="AZ133" s="63">
        <v>57.0</v>
      </c>
      <c r="BA133" s="63">
        <v>4.0</v>
      </c>
      <c r="BB133" s="63">
        <v>15.0</v>
      </c>
      <c r="BD133" s="63">
        <v>98.0</v>
      </c>
      <c r="BE133" s="63">
        <v>5.0</v>
      </c>
      <c r="BI133" s="63">
        <v>14.0</v>
      </c>
      <c r="BK133" s="63">
        <v>73.5999999999999</v>
      </c>
      <c r="BL133" s="63">
        <v>20.0</v>
      </c>
      <c r="BM133" s="64"/>
      <c r="BN133" s="63">
        <v>111.0</v>
      </c>
      <c r="BO133" s="63">
        <v>3.0</v>
      </c>
      <c r="BS133" s="63">
        <v>16.0</v>
      </c>
      <c r="BT133" s="63">
        <v>81.0</v>
      </c>
      <c r="BV133" s="63">
        <v>25.0</v>
      </c>
      <c r="BX133" s="63">
        <v>15.0</v>
      </c>
      <c r="BY133" s="63">
        <v>7.0</v>
      </c>
      <c r="CC133" s="63">
        <v>22.0</v>
      </c>
      <c r="CD133" s="63">
        <v>5.0</v>
      </c>
    </row>
    <row r="134" ht="15.75" customHeight="1">
      <c r="A134" s="63" t="s">
        <v>668</v>
      </c>
      <c r="B134" s="63" t="s">
        <v>669</v>
      </c>
      <c r="C134" s="63" t="s">
        <v>670</v>
      </c>
      <c r="D134" s="63">
        <v>80905.0</v>
      </c>
      <c r="E134" s="63" t="s">
        <v>243</v>
      </c>
      <c r="F134" s="63">
        <v>127.0</v>
      </c>
      <c r="G134" s="63">
        <v>8.0</v>
      </c>
      <c r="H134" s="63">
        <v>4689.0</v>
      </c>
      <c r="I134" s="63">
        <v>1151.0</v>
      </c>
      <c r="J134" s="63">
        <v>820.0</v>
      </c>
      <c r="K134" s="63">
        <v>782.0</v>
      </c>
      <c r="L134" s="63">
        <v>936.0</v>
      </c>
      <c r="M134" s="63">
        <v>694.0</v>
      </c>
      <c r="N134" s="63">
        <v>3999.0</v>
      </c>
      <c r="O134" s="63">
        <v>2945.0</v>
      </c>
      <c r="P134" s="63">
        <v>180.0</v>
      </c>
      <c r="Q134" s="63">
        <v>5.0</v>
      </c>
      <c r="S134" s="63">
        <v>7.0</v>
      </c>
      <c r="U134" s="63">
        <v>1144.0</v>
      </c>
      <c r="V134" s="63">
        <v>814.0</v>
      </c>
      <c r="W134" s="64">
        <v>106.0</v>
      </c>
      <c r="X134" s="63">
        <v>10.0</v>
      </c>
      <c r="Y134" s="63">
        <v>16.0</v>
      </c>
      <c r="Z134" s="63">
        <v>17.0</v>
      </c>
      <c r="AA134" s="63">
        <v>167.0</v>
      </c>
      <c r="AB134" s="63">
        <v>100.0</v>
      </c>
      <c r="AC134" s="63">
        <v>4.0</v>
      </c>
      <c r="AD134" s="63">
        <v>302.0</v>
      </c>
      <c r="AE134" s="63">
        <v>580.0</v>
      </c>
      <c r="AF134" s="63">
        <v>94.0</v>
      </c>
      <c r="AG134" s="63">
        <v>1120.0</v>
      </c>
      <c r="AH134" s="63">
        <v>39.0</v>
      </c>
      <c r="AI134" s="63">
        <v>42.0</v>
      </c>
      <c r="AL134" s="63">
        <v>17.0</v>
      </c>
      <c r="AM134" s="63">
        <v>1.0</v>
      </c>
      <c r="AN134" s="63">
        <v>32.0</v>
      </c>
      <c r="AO134" s="63">
        <v>4.0</v>
      </c>
      <c r="AP134" s="63">
        <v>5.0</v>
      </c>
      <c r="AQ134" s="63">
        <v>17.0</v>
      </c>
      <c r="AR134" s="63">
        <v>89.0</v>
      </c>
      <c r="AS134" s="63">
        <v>8.0</v>
      </c>
      <c r="AT134" s="63">
        <v>2505.0</v>
      </c>
      <c r="AU134" s="63">
        <v>1013.0</v>
      </c>
      <c r="AV134" s="63">
        <v>480.0</v>
      </c>
      <c r="AW134" s="63">
        <v>7.0</v>
      </c>
      <c r="AY134" s="63">
        <v>855.0</v>
      </c>
      <c r="AZ134" s="63">
        <v>2192.0</v>
      </c>
      <c r="BA134" s="63">
        <v>310.0</v>
      </c>
      <c r="BB134" s="63">
        <v>75.0</v>
      </c>
      <c r="BD134" s="63">
        <v>974.0</v>
      </c>
      <c r="BE134" s="63">
        <v>15.0</v>
      </c>
      <c r="BF134" s="63">
        <v>2.0</v>
      </c>
      <c r="BG134" s="63">
        <v>777.0</v>
      </c>
      <c r="BH134" s="63">
        <v>481.0</v>
      </c>
      <c r="BI134" s="63">
        <v>133.0</v>
      </c>
      <c r="BJ134" s="63">
        <v>2.0</v>
      </c>
      <c r="BK134" s="63">
        <v>10.0</v>
      </c>
      <c r="BL134" s="63">
        <v>20.0</v>
      </c>
      <c r="BM134" s="64">
        <v>40.0</v>
      </c>
      <c r="BN134" s="63">
        <v>1210.0</v>
      </c>
      <c r="BO134" s="63">
        <v>305.0</v>
      </c>
      <c r="BP134" s="63">
        <v>13.0</v>
      </c>
      <c r="BQ134" s="63">
        <v>5.0</v>
      </c>
      <c r="BS134" s="63">
        <v>112.0</v>
      </c>
      <c r="BT134" s="63">
        <v>1039.0</v>
      </c>
      <c r="BU134" s="63">
        <v>11.0</v>
      </c>
      <c r="BV134" s="63">
        <v>51.0</v>
      </c>
      <c r="BX134" s="63">
        <v>97.0</v>
      </c>
      <c r="BY134" s="63">
        <v>52.0</v>
      </c>
      <c r="BZ134" s="63">
        <v>5.0</v>
      </c>
      <c r="CA134" s="63">
        <v>402.0</v>
      </c>
      <c r="CB134" s="63">
        <v>13.0</v>
      </c>
      <c r="CC134" s="63">
        <v>8.0</v>
      </c>
      <c r="CD134" s="63">
        <v>23.0</v>
      </c>
      <c r="CG134" s="63">
        <v>40.0</v>
      </c>
      <c r="CH134" s="63">
        <v>265.0</v>
      </c>
      <c r="CI134" s="63">
        <v>1.0</v>
      </c>
      <c r="CL134" s="63">
        <v>3.0</v>
      </c>
      <c r="CM134" s="63">
        <v>124.0</v>
      </c>
      <c r="CN134" s="63">
        <v>3.0</v>
      </c>
      <c r="CO134" s="63">
        <v>40.0</v>
      </c>
      <c r="CR134" s="63">
        <v>16.0</v>
      </c>
      <c r="CT134" s="63">
        <v>124.0</v>
      </c>
      <c r="CU134" s="63">
        <v>1.0</v>
      </c>
      <c r="CV134" s="63">
        <v>1.0</v>
      </c>
      <c r="CX134" s="63">
        <v>6.0</v>
      </c>
      <c r="CY134" s="63">
        <v>26.0</v>
      </c>
      <c r="CZ134" s="63">
        <v>1.0</v>
      </c>
      <c r="DA134" s="63">
        <v>83.0</v>
      </c>
      <c r="DB134" s="63">
        <v>308.0</v>
      </c>
      <c r="DC134" s="63">
        <v>31.0</v>
      </c>
      <c r="DD134" s="63">
        <v>16.0</v>
      </c>
      <c r="DF134" s="63">
        <v>9.0</v>
      </c>
      <c r="DG134" s="63">
        <v>360.0</v>
      </c>
      <c r="DH134" s="63">
        <v>8.0</v>
      </c>
      <c r="DJ134" s="63">
        <v>5.0</v>
      </c>
      <c r="DL134" s="63">
        <v>15.0</v>
      </c>
      <c r="DN134" s="63">
        <v>39.0</v>
      </c>
      <c r="DO134" s="63">
        <v>34.0</v>
      </c>
      <c r="DP134" s="63">
        <v>15.0</v>
      </c>
      <c r="DQ134" s="63">
        <v>1.0</v>
      </c>
      <c r="DR134" s="63">
        <v>14.0</v>
      </c>
      <c r="DS134" s="63">
        <v>2.0</v>
      </c>
      <c r="DU134" s="63">
        <v>23.0</v>
      </c>
      <c r="DV134" s="63">
        <v>39.0</v>
      </c>
      <c r="DW134" s="63">
        <v>3.0</v>
      </c>
      <c r="DZ134" s="63">
        <v>14.0</v>
      </c>
      <c r="EA134" s="63">
        <v>67.0</v>
      </c>
      <c r="EB134" s="63">
        <v>2.0</v>
      </c>
      <c r="EC134" s="63">
        <v>7.0</v>
      </c>
      <c r="EF134" s="63">
        <v>1.0</v>
      </c>
      <c r="EH134" s="63">
        <v>1.0</v>
      </c>
      <c r="EI134" s="63">
        <v>3.0</v>
      </c>
      <c r="EL134" s="63">
        <v>8.0</v>
      </c>
      <c r="EM134" s="63">
        <v>4.0</v>
      </c>
      <c r="EO134" s="63">
        <v>59.0</v>
      </c>
      <c r="EP134" s="63">
        <v>70.0</v>
      </c>
      <c r="EQ134" s="63">
        <v>12.0</v>
      </c>
      <c r="ER134" s="63">
        <v>4.0</v>
      </c>
      <c r="ET134" s="63">
        <v>7.0</v>
      </c>
      <c r="EU134" s="63">
        <v>122.0</v>
      </c>
      <c r="EV134" s="63">
        <v>2.0</v>
      </c>
      <c r="EZ134" s="63">
        <v>3.0</v>
      </c>
      <c r="FA134" s="63">
        <v>1.0</v>
      </c>
      <c r="FB134" s="63">
        <v>11.0</v>
      </c>
      <c r="FC134" s="63">
        <v>12.0</v>
      </c>
      <c r="FD134" s="63">
        <v>5.0</v>
      </c>
      <c r="FF134" s="63">
        <v>11.0</v>
      </c>
      <c r="FG134" s="63">
        <v>7.0</v>
      </c>
      <c r="FJ134" s="63">
        <v>60.0</v>
      </c>
      <c r="FK134" s="63">
        <v>144.0</v>
      </c>
      <c r="FL134" s="63">
        <v>1.0</v>
      </c>
      <c r="FM134" s="63">
        <v>1.0</v>
      </c>
      <c r="FO134" s="63">
        <v>17.0</v>
      </c>
      <c r="FP134" s="63">
        <v>201.0</v>
      </c>
      <c r="FQ134" s="63">
        <v>10.0</v>
      </c>
      <c r="FR134" s="63">
        <v>3.0</v>
      </c>
      <c r="FU134" s="63">
        <v>1.0</v>
      </c>
      <c r="FW134" s="63">
        <v>13.0</v>
      </c>
      <c r="FX134" s="63">
        <v>1.0</v>
      </c>
      <c r="FY134" s="63">
        <v>1.0</v>
      </c>
      <c r="GA134" s="63">
        <v>11.0</v>
      </c>
    </row>
    <row r="135" ht="15.75" customHeight="1">
      <c r="A135" s="63" t="s">
        <v>671</v>
      </c>
      <c r="B135" s="63" t="s">
        <v>672</v>
      </c>
      <c r="C135" s="63" t="s">
        <v>673</v>
      </c>
      <c r="D135" s="63">
        <v>80120.0</v>
      </c>
      <c r="E135" s="63" t="s">
        <v>350</v>
      </c>
      <c r="F135" s="63">
        <v>23.0</v>
      </c>
      <c r="G135" s="63">
        <v>7.0</v>
      </c>
      <c r="H135" s="63">
        <v>550.0</v>
      </c>
      <c r="I135" s="63">
        <v>145.0</v>
      </c>
      <c r="J135" s="63">
        <v>39.0</v>
      </c>
      <c r="K135" s="63">
        <v>377.0</v>
      </c>
      <c r="M135" s="63">
        <v>82.0</v>
      </c>
      <c r="N135" s="63">
        <v>709.0</v>
      </c>
      <c r="O135" s="63">
        <v>377.0</v>
      </c>
      <c r="P135" s="63">
        <v>27.0</v>
      </c>
      <c r="Q135" s="63">
        <v>1.0</v>
      </c>
      <c r="S135" s="63">
        <v>1.0</v>
      </c>
      <c r="U135" s="63">
        <v>17.0</v>
      </c>
      <c r="V135" s="63">
        <v>39.0</v>
      </c>
      <c r="W135" s="64">
        <v>41.0</v>
      </c>
      <c r="X135" s="63">
        <v>11.0</v>
      </c>
      <c r="Y135" s="63">
        <v>1.0</v>
      </c>
      <c r="Z135" s="63">
        <v>2.0</v>
      </c>
      <c r="AA135" s="63">
        <v>16.0</v>
      </c>
      <c r="AB135" s="63">
        <v>10.0</v>
      </c>
      <c r="AD135" s="63">
        <v>38.0</v>
      </c>
      <c r="AF135" s="63">
        <v>4.0</v>
      </c>
      <c r="AG135" s="63">
        <v>55.0</v>
      </c>
      <c r="AH135" s="63">
        <v>4.0</v>
      </c>
      <c r="AI135" s="63">
        <v>1.0</v>
      </c>
      <c r="AL135" s="63">
        <v>1.0</v>
      </c>
      <c r="AN135" s="63">
        <v>2.0</v>
      </c>
      <c r="AP135" s="63">
        <v>1.0</v>
      </c>
      <c r="AQ135" s="63">
        <v>7.0</v>
      </c>
      <c r="AR135" s="63">
        <v>18.0</v>
      </c>
      <c r="AS135" s="63">
        <v>8.0</v>
      </c>
      <c r="AT135" s="63">
        <v>142.0</v>
      </c>
      <c r="AU135" s="63">
        <v>77.0</v>
      </c>
      <c r="AV135" s="63">
        <v>10.0</v>
      </c>
      <c r="AW135" s="63">
        <v>87.0</v>
      </c>
      <c r="AY135" s="63">
        <v>33.0</v>
      </c>
      <c r="AZ135" s="63">
        <v>286.0</v>
      </c>
      <c r="BA135" s="63">
        <v>32.0</v>
      </c>
      <c r="BB135" s="63">
        <v>6.0</v>
      </c>
      <c r="BD135" s="63">
        <v>2.0</v>
      </c>
      <c r="BF135" s="63">
        <v>1.0</v>
      </c>
      <c r="BG135" s="63">
        <v>23.0</v>
      </c>
      <c r="BH135" s="63">
        <v>10.0</v>
      </c>
      <c r="BI135" s="63">
        <v>15.0</v>
      </c>
      <c r="BK135" s="63">
        <v>59.0</v>
      </c>
      <c r="BL135" s="63">
        <v>9.0</v>
      </c>
      <c r="BM135" s="64">
        <v>12.0</v>
      </c>
      <c r="BN135" s="63">
        <v>43.0</v>
      </c>
      <c r="BO135" s="63">
        <v>14.0</v>
      </c>
      <c r="BQ135" s="63">
        <v>99.0</v>
      </c>
      <c r="BS135" s="63">
        <v>25.0</v>
      </c>
      <c r="BT135" s="63">
        <v>169.0</v>
      </c>
      <c r="BU135" s="63">
        <v>2.0</v>
      </c>
      <c r="BY135" s="63">
        <v>9.0</v>
      </c>
      <c r="CA135" s="63">
        <v>1.0</v>
      </c>
      <c r="CC135" s="63">
        <v>19.0</v>
      </c>
      <c r="CD135" s="63">
        <v>2.0</v>
      </c>
      <c r="CG135" s="63">
        <v>4.0</v>
      </c>
      <c r="CO135" s="63">
        <v>3.0</v>
      </c>
      <c r="CT135" s="63">
        <v>1.0</v>
      </c>
      <c r="CX135" s="63">
        <v>8.0</v>
      </c>
      <c r="DU135" s="63">
        <v>1.0</v>
      </c>
      <c r="EE135" s="63">
        <v>1.0</v>
      </c>
      <c r="EL135" s="63">
        <v>11.0</v>
      </c>
      <c r="FJ135" s="63">
        <v>1.0</v>
      </c>
      <c r="FQ135" s="63">
        <v>1.0</v>
      </c>
      <c r="GA135" s="63">
        <v>10.0</v>
      </c>
    </row>
    <row r="136" ht="15.75" customHeight="1">
      <c r="A136" s="63" t="s">
        <v>674</v>
      </c>
      <c r="B136" s="63" t="s">
        <v>675</v>
      </c>
      <c r="C136" s="63" t="s">
        <v>676</v>
      </c>
      <c r="D136" s="63">
        <v>80620.0</v>
      </c>
      <c r="E136" s="63" t="s">
        <v>258</v>
      </c>
      <c r="F136" s="63">
        <v>70.0</v>
      </c>
      <c r="H136" s="63">
        <v>1792.0</v>
      </c>
      <c r="I136" s="63">
        <v>223.0</v>
      </c>
      <c r="J136" s="63">
        <v>152.0</v>
      </c>
      <c r="K136" s="63">
        <v>2.0</v>
      </c>
      <c r="M136" s="63">
        <v>167.0</v>
      </c>
      <c r="N136" s="63">
        <v>837.0</v>
      </c>
      <c r="O136" s="63">
        <v>987.0</v>
      </c>
      <c r="P136" s="63">
        <v>126.0</v>
      </c>
      <c r="Q136" s="63">
        <v>6.0</v>
      </c>
      <c r="S136" s="63">
        <v>5.0</v>
      </c>
      <c r="T136" s="63">
        <v>2.0</v>
      </c>
      <c r="U136" s="63">
        <v>245.0</v>
      </c>
      <c r="V136" s="63">
        <v>152.0</v>
      </c>
      <c r="W136" s="64">
        <v>68.0</v>
      </c>
      <c r="X136" s="63">
        <v>2.0</v>
      </c>
      <c r="Y136" s="63">
        <v>5.0</v>
      </c>
      <c r="AA136" s="63">
        <v>99.0</v>
      </c>
      <c r="AB136" s="63">
        <v>27.0</v>
      </c>
      <c r="AC136" s="63">
        <v>1.0</v>
      </c>
      <c r="AF136" s="63">
        <v>9.0</v>
      </c>
      <c r="AG136" s="63">
        <v>90.0</v>
      </c>
      <c r="AH136" s="63">
        <v>11.0</v>
      </c>
      <c r="AI136" s="63">
        <v>6.0</v>
      </c>
      <c r="AL136" s="63">
        <v>7.0</v>
      </c>
      <c r="AN136" s="63">
        <v>4.0</v>
      </c>
      <c r="AO136" s="63">
        <v>1.0</v>
      </c>
      <c r="AP136" s="63">
        <v>1.0</v>
      </c>
      <c r="AQ136" s="63">
        <v>14.0</v>
      </c>
      <c r="AR136" s="63">
        <v>84.0</v>
      </c>
      <c r="AS136" s="63">
        <v>1.0</v>
      </c>
      <c r="AT136" s="63">
        <v>670.0</v>
      </c>
      <c r="AU136" s="63">
        <v>125.0</v>
      </c>
      <c r="AV136" s="63">
        <v>69.0</v>
      </c>
      <c r="AW136" s="63">
        <v>4.0</v>
      </c>
      <c r="AY136" s="63">
        <v>48.0</v>
      </c>
      <c r="AZ136" s="63">
        <v>480.0</v>
      </c>
      <c r="BA136" s="63">
        <v>54.0</v>
      </c>
      <c r="BB136" s="63">
        <v>111.0</v>
      </c>
      <c r="BE136" s="63">
        <v>1.0</v>
      </c>
      <c r="BF136" s="63">
        <v>1.0</v>
      </c>
      <c r="BG136" s="63">
        <v>257.0</v>
      </c>
      <c r="BH136" s="63">
        <v>69.0</v>
      </c>
      <c r="BI136" s="63">
        <v>49.0</v>
      </c>
      <c r="BK136" s="63">
        <v>31.5</v>
      </c>
      <c r="BL136" s="63">
        <v>12.0</v>
      </c>
      <c r="BM136" s="64">
        <v>14.0</v>
      </c>
      <c r="BN136" s="63">
        <v>669.0</v>
      </c>
      <c r="BO136" s="63">
        <v>53.0</v>
      </c>
      <c r="BS136" s="63">
        <v>16.0</v>
      </c>
      <c r="BT136" s="63">
        <v>423.0</v>
      </c>
      <c r="BU136" s="63">
        <v>3.0</v>
      </c>
      <c r="BV136" s="63">
        <v>161.0</v>
      </c>
      <c r="BY136" s="63">
        <v>46.0</v>
      </c>
      <c r="CA136" s="63">
        <v>92.0</v>
      </c>
      <c r="CC136" s="63">
        <v>1.0</v>
      </c>
      <c r="CD136" s="63">
        <v>13.0</v>
      </c>
      <c r="CG136" s="63">
        <v>4.0</v>
      </c>
      <c r="CH136" s="63">
        <v>2.0</v>
      </c>
      <c r="CM136" s="63">
        <v>5.0</v>
      </c>
      <c r="CN136" s="63">
        <v>1.0</v>
      </c>
      <c r="CX136" s="63">
        <v>25.7</v>
      </c>
      <c r="DA136" s="63">
        <v>18.0</v>
      </c>
      <c r="DB136" s="63">
        <v>5.0</v>
      </c>
      <c r="DC136" s="63">
        <v>1.0</v>
      </c>
      <c r="DG136" s="63">
        <v>17.0</v>
      </c>
      <c r="DH136" s="63">
        <v>1.0</v>
      </c>
      <c r="DI136" s="63">
        <v>2.0</v>
      </c>
      <c r="DM136" s="63">
        <v>2.0</v>
      </c>
      <c r="DN136" s="63">
        <v>1.0</v>
      </c>
      <c r="DO136" s="63">
        <v>1.0</v>
      </c>
      <c r="DR136" s="63">
        <v>34.86</v>
      </c>
      <c r="EM136" s="63">
        <v>1.0</v>
      </c>
      <c r="EO136" s="63">
        <v>13.0</v>
      </c>
      <c r="EP136" s="63">
        <v>6.0</v>
      </c>
      <c r="EU136" s="63">
        <v>13.0</v>
      </c>
      <c r="EV136" s="63">
        <v>1.0</v>
      </c>
      <c r="EW136" s="63">
        <v>4.0</v>
      </c>
      <c r="FB136" s="63">
        <v>1.0</v>
      </c>
      <c r="FF136" s="63">
        <v>20.5</v>
      </c>
    </row>
    <row r="137" ht="15.75" customHeight="1">
      <c r="A137" s="63" t="s">
        <v>677</v>
      </c>
      <c r="B137" s="63" t="s">
        <v>678</v>
      </c>
      <c r="C137" s="63" t="s">
        <v>679</v>
      </c>
      <c r="D137" s="63">
        <v>80827.0</v>
      </c>
      <c r="E137" s="63" t="s">
        <v>486</v>
      </c>
      <c r="F137" s="63">
        <v>36.0</v>
      </c>
      <c r="I137" s="63">
        <v>4.0</v>
      </c>
      <c r="S137" s="63">
        <v>3.0</v>
      </c>
      <c r="U137" s="63">
        <v>1.0</v>
      </c>
      <c r="W137" s="64">
        <v>36.0</v>
      </c>
      <c r="AR137" s="63">
        <v>5.0</v>
      </c>
      <c r="BI137" s="63">
        <v>5.0</v>
      </c>
      <c r="BK137" s="63">
        <v>365.0</v>
      </c>
      <c r="BM137" s="64"/>
      <c r="CY137" s="63">
        <v>11.0</v>
      </c>
      <c r="DE137" s="63">
        <v>1.0</v>
      </c>
      <c r="DG137" s="63">
        <v>4.0</v>
      </c>
      <c r="DL137" s="63">
        <v>3.0</v>
      </c>
      <c r="DP137" s="63">
        <v>5.0</v>
      </c>
      <c r="DR137" s="63">
        <v>300.0</v>
      </c>
    </row>
    <row r="138" ht="15.75" customHeight="1">
      <c r="A138" s="63" t="s">
        <v>680</v>
      </c>
      <c r="B138" s="63" t="s">
        <v>681</v>
      </c>
      <c r="C138" s="63" t="s">
        <v>682</v>
      </c>
      <c r="D138" s="63">
        <v>80470.0</v>
      </c>
      <c r="E138" s="63" t="s">
        <v>486</v>
      </c>
      <c r="F138" s="63">
        <v>16.0</v>
      </c>
      <c r="H138" s="63">
        <v>28.0</v>
      </c>
      <c r="I138" s="63">
        <v>19.0</v>
      </c>
      <c r="K138" s="63">
        <v>89.0</v>
      </c>
      <c r="L138" s="63">
        <v>57.0</v>
      </c>
      <c r="N138" s="63">
        <v>182.0</v>
      </c>
      <c r="O138" s="63">
        <v>11.0</v>
      </c>
      <c r="P138" s="63">
        <v>9.0</v>
      </c>
      <c r="U138" s="63">
        <v>1.0</v>
      </c>
      <c r="W138" s="64">
        <v>12.0</v>
      </c>
      <c r="X138" s="63">
        <v>3.0</v>
      </c>
      <c r="AD138" s="63">
        <v>20.0</v>
      </c>
      <c r="AE138" s="63">
        <v>13.0</v>
      </c>
      <c r="AG138" s="63">
        <v>33.0</v>
      </c>
      <c r="AQ138" s="63">
        <v>6.0</v>
      </c>
      <c r="AR138" s="63">
        <v>31.0</v>
      </c>
      <c r="AS138" s="63">
        <v>3.0</v>
      </c>
      <c r="AT138" s="63">
        <v>39.0</v>
      </c>
      <c r="AU138" s="63">
        <v>22.0</v>
      </c>
      <c r="AW138" s="63">
        <v>138.0</v>
      </c>
      <c r="AX138" s="63">
        <v>63.0</v>
      </c>
      <c r="AZ138" s="63">
        <v>262.0</v>
      </c>
      <c r="BA138" s="63">
        <v>20.0</v>
      </c>
      <c r="BB138" s="63">
        <v>1.0</v>
      </c>
      <c r="BG138" s="63">
        <v>2.0</v>
      </c>
      <c r="BI138" s="63">
        <v>33.0</v>
      </c>
      <c r="BJ138" s="63">
        <v>7.0</v>
      </c>
      <c r="BK138" s="63">
        <v>18.0</v>
      </c>
      <c r="BM138" s="64"/>
      <c r="BN138" s="63">
        <v>36.0</v>
      </c>
      <c r="BQ138" s="63">
        <v>73.0</v>
      </c>
      <c r="BR138" s="63">
        <v>39.0</v>
      </c>
      <c r="BT138" s="63">
        <v>149.0</v>
      </c>
    </row>
    <row r="139" ht="15.75" customHeight="1">
      <c r="A139" s="63" t="s">
        <v>683</v>
      </c>
      <c r="B139" s="63" t="s">
        <v>684</v>
      </c>
      <c r="C139" s="63" t="s">
        <v>685</v>
      </c>
      <c r="D139" s="63">
        <v>80640.0</v>
      </c>
      <c r="E139" s="63" t="s">
        <v>250</v>
      </c>
      <c r="F139" s="63">
        <v>19.0</v>
      </c>
      <c r="I139" s="63">
        <v>5.0</v>
      </c>
      <c r="K139" s="63">
        <v>13.0</v>
      </c>
      <c r="N139" s="63">
        <v>25.0</v>
      </c>
      <c r="R139" s="63">
        <v>1.0</v>
      </c>
      <c r="W139" s="64">
        <v>12.0</v>
      </c>
      <c r="BM139" s="64"/>
    </row>
    <row r="140" ht="15.75" customHeight="1">
      <c r="A140" s="63" t="s">
        <v>686</v>
      </c>
      <c r="B140" s="63" t="s">
        <v>687</v>
      </c>
      <c r="C140" s="63" t="s">
        <v>688</v>
      </c>
      <c r="D140" s="63">
        <v>80439.0</v>
      </c>
      <c r="E140" s="63" t="s">
        <v>239</v>
      </c>
      <c r="G140" s="63">
        <v>1.0</v>
      </c>
      <c r="K140" s="63">
        <v>15.0</v>
      </c>
      <c r="L140" s="63">
        <v>197.0</v>
      </c>
      <c r="N140" s="63">
        <v>199.0</v>
      </c>
      <c r="P140" s="63">
        <v>8.0</v>
      </c>
      <c r="W140" s="64"/>
      <c r="X140" s="63">
        <v>6.0</v>
      </c>
      <c r="AD140" s="63">
        <v>2.0</v>
      </c>
      <c r="AE140" s="63">
        <v>475.0</v>
      </c>
      <c r="AG140" s="63">
        <v>428.0</v>
      </c>
      <c r="AI140" s="63">
        <v>26.0</v>
      </c>
      <c r="AL140" s="63">
        <v>12.0</v>
      </c>
      <c r="AM140" s="63">
        <v>3.0</v>
      </c>
      <c r="AN140" s="63">
        <v>3.0</v>
      </c>
      <c r="AQ140" s="63">
        <v>5.0</v>
      </c>
      <c r="AX140" s="63">
        <v>36.0</v>
      </c>
      <c r="AY140" s="63">
        <v>3.0</v>
      </c>
      <c r="AZ140" s="63">
        <v>15.0</v>
      </c>
      <c r="BB140" s="63">
        <v>20.0</v>
      </c>
      <c r="BD140" s="63">
        <v>3.0</v>
      </c>
      <c r="BJ140" s="63">
        <v>1.0</v>
      </c>
      <c r="BK140" s="63">
        <v>11.0</v>
      </c>
      <c r="BM140" s="64"/>
      <c r="BQ140" s="63">
        <v>5.0</v>
      </c>
      <c r="BR140" s="63">
        <v>37.0</v>
      </c>
      <c r="BT140" s="63">
        <v>29.0</v>
      </c>
      <c r="BV140" s="63">
        <v>13.0</v>
      </c>
    </row>
    <row r="141" ht="15.75" customHeight="1">
      <c r="A141" s="63" t="s">
        <v>689</v>
      </c>
      <c r="B141" s="63" t="s">
        <v>690</v>
      </c>
      <c r="C141" s="63" t="s">
        <v>691</v>
      </c>
      <c r="D141" s="63">
        <v>81428.0</v>
      </c>
      <c r="E141" s="63" t="s">
        <v>323</v>
      </c>
      <c r="W141" s="64"/>
      <c r="AR141" s="63">
        <v>23.0</v>
      </c>
      <c r="AT141" s="63">
        <v>30.0</v>
      </c>
      <c r="AU141" s="63">
        <v>12.0</v>
      </c>
      <c r="AZ141" s="63">
        <v>42.0</v>
      </c>
      <c r="BG141" s="63">
        <v>1.0</v>
      </c>
      <c r="BI141" s="63">
        <v>23.0</v>
      </c>
      <c r="BM141" s="64"/>
      <c r="BN141" s="63">
        <v>44.0</v>
      </c>
      <c r="BT141" s="63">
        <v>44.0</v>
      </c>
    </row>
    <row r="142" ht="15.75" customHeight="1">
      <c r="A142" s="63" t="s">
        <v>692</v>
      </c>
      <c r="B142" s="63" t="s">
        <v>693</v>
      </c>
      <c r="C142" s="63" t="s">
        <v>694</v>
      </c>
      <c r="D142" s="63">
        <v>80550.0</v>
      </c>
      <c r="E142" s="63" t="s">
        <v>258</v>
      </c>
      <c r="W142" s="64"/>
      <c r="BM142" s="64"/>
    </row>
    <row r="143" ht="15.75" customHeight="1">
      <c r="A143" s="63" t="s">
        <v>695</v>
      </c>
      <c r="B143" s="63" t="s">
        <v>696</v>
      </c>
      <c r="C143" s="63" t="s">
        <v>697</v>
      </c>
      <c r="D143" s="63">
        <v>80127.0</v>
      </c>
      <c r="E143" s="63" t="s">
        <v>239</v>
      </c>
      <c r="F143" s="63">
        <v>11.0</v>
      </c>
      <c r="G143" s="63">
        <v>11.0</v>
      </c>
      <c r="H143" s="63">
        <v>2.0</v>
      </c>
      <c r="K143" s="63">
        <v>2.0</v>
      </c>
      <c r="L143" s="63">
        <v>41.0</v>
      </c>
      <c r="M143" s="63">
        <v>3.0</v>
      </c>
      <c r="N143" s="63">
        <v>44.0</v>
      </c>
      <c r="O143" s="63">
        <v>2.0</v>
      </c>
      <c r="P143" s="63">
        <v>4.0</v>
      </c>
      <c r="S143" s="63">
        <v>2.0</v>
      </c>
      <c r="W143" s="64">
        <v>9.0</v>
      </c>
      <c r="X143" s="63">
        <v>9.0</v>
      </c>
      <c r="Y143" s="63">
        <v>13.0</v>
      </c>
      <c r="Z143" s="63">
        <v>13.0</v>
      </c>
      <c r="AA143" s="63">
        <v>4.0</v>
      </c>
      <c r="AB143" s="63">
        <v>5.0</v>
      </c>
      <c r="AD143" s="63">
        <v>9.0</v>
      </c>
      <c r="AE143" s="63">
        <v>152.0</v>
      </c>
      <c r="AF143" s="63">
        <v>1.0</v>
      </c>
      <c r="AG143" s="63">
        <v>179.0</v>
      </c>
      <c r="AL143" s="63">
        <v>4.0</v>
      </c>
      <c r="AP143" s="63">
        <v>1.0</v>
      </c>
      <c r="AQ143" s="63">
        <v>1.0</v>
      </c>
      <c r="AT143" s="63">
        <v>5.0</v>
      </c>
      <c r="AU143" s="63">
        <v>5.0</v>
      </c>
      <c r="AX143" s="63">
        <v>35.0</v>
      </c>
      <c r="AZ143" s="63">
        <v>42.0</v>
      </c>
      <c r="BI143" s="63">
        <v>3.0</v>
      </c>
      <c r="BJ143" s="63">
        <v>3.0</v>
      </c>
      <c r="BK143" s="63">
        <v>42.0</v>
      </c>
      <c r="BL143" s="63">
        <v>10.0</v>
      </c>
      <c r="BM143" s="64">
        <v>10.0</v>
      </c>
      <c r="BN143" s="63">
        <v>10.0</v>
      </c>
      <c r="BO143" s="63">
        <v>4.0</v>
      </c>
      <c r="BQ143" s="63">
        <v>16.0</v>
      </c>
      <c r="BR143" s="63">
        <v>145.0</v>
      </c>
      <c r="BS143" s="63">
        <v>6.0</v>
      </c>
      <c r="BT143" s="63">
        <v>176.0</v>
      </c>
      <c r="BY143" s="63">
        <v>15.0</v>
      </c>
    </row>
    <row r="144" ht="15.75" customHeight="1">
      <c r="A144" s="63" t="s">
        <v>698</v>
      </c>
      <c r="B144" s="63" t="s">
        <v>699</v>
      </c>
      <c r="C144" s="63" t="s">
        <v>700</v>
      </c>
      <c r="D144" s="63">
        <v>81303.0</v>
      </c>
      <c r="E144" s="63" t="s">
        <v>287</v>
      </c>
      <c r="F144" s="63">
        <v>29.0</v>
      </c>
      <c r="H144" s="63">
        <v>614.0</v>
      </c>
      <c r="I144" s="63">
        <v>235.0</v>
      </c>
      <c r="J144" s="63">
        <v>95.0</v>
      </c>
      <c r="K144" s="63">
        <v>28.0</v>
      </c>
      <c r="L144" s="63">
        <v>180.0</v>
      </c>
      <c r="M144" s="63">
        <v>59.0</v>
      </c>
      <c r="N144" s="63">
        <v>557.0</v>
      </c>
      <c r="O144" s="63">
        <v>465.0</v>
      </c>
      <c r="P144" s="63">
        <v>44.0</v>
      </c>
      <c r="S144" s="63">
        <v>1.0</v>
      </c>
      <c r="U144" s="63">
        <v>19.0</v>
      </c>
      <c r="V144" s="63">
        <v>95.0</v>
      </c>
      <c r="W144" s="64">
        <v>56.0</v>
      </c>
      <c r="Y144" s="63">
        <v>23.0</v>
      </c>
      <c r="AA144" s="63">
        <v>150.0</v>
      </c>
      <c r="AB144" s="63">
        <v>109.0</v>
      </c>
      <c r="AD144" s="63">
        <v>34.0</v>
      </c>
      <c r="AE144" s="63">
        <v>110.0</v>
      </c>
      <c r="AF144" s="63">
        <v>19.0</v>
      </c>
      <c r="AG144" s="63">
        <v>346.0</v>
      </c>
      <c r="AH144" s="63">
        <v>48.0</v>
      </c>
      <c r="AI144" s="63">
        <v>20.0</v>
      </c>
      <c r="AL144" s="63">
        <v>4.0</v>
      </c>
      <c r="AN144" s="63">
        <v>9.0</v>
      </c>
      <c r="AP144" s="63">
        <v>31.0</v>
      </c>
      <c r="AR144" s="63">
        <v>38.0</v>
      </c>
      <c r="AT144" s="63">
        <v>235.0</v>
      </c>
      <c r="AU144" s="63">
        <v>137.0</v>
      </c>
      <c r="AV144" s="63">
        <v>43.0</v>
      </c>
      <c r="AX144" s="63">
        <v>47.0</v>
      </c>
      <c r="AZ144" s="63">
        <v>346.0</v>
      </c>
      <c r="BA144" s="63">
        <v>57.0</v>
      </c>
      <c r="BB144" s="63">
        <v>2.0</v>
      </c>
      <c r="BE144" s="63">
        <v>7.0</v>
      </c>
      <c r="BG144" s="63">
        <v>19.0</v>
      </c>
      <c r="BH144" s="63">
        <v>43.0</v>
      </c>
      <c r="BI144" s="63">
        <v>45.0</v>
      </c>
      <c r="BK144" s="63">
        <v>19.0</v>
      </c>
      <c r="BL144" s="63">
        <v>50.0</v>
      </c>
      <c r="BM144" s="64">
        <v>10.0</v>
      </c>
      <c r="BN144" s="63">
        <v>374.0</v>
      </c>
      <c r="BO144" s="63">
        <v>195.0</v>
      </c>
      <c r="BP144" s="63">
        <v>3.0</v>
      </c>
      <c r="BQ144" s="63">
        <v>47.0</v>
      </c>
      <c r="BR144" s="63">
        <v>100.0</v>
      </c>
      <c r="BS144" s="63">
        <v>15.0</v>
      </c>
      <c r="BT144" s="63">
        <v>632.0</v>
      </c>
      <c r="BU144" s="63">
        <v>18.0</v>
      </c>
      <c r="BV144" s="63">
        <v>13.0</v>
      </c>
      <c r="BY144" s="63">
        <v>45.0</v>
      </c>
      <c r="CA144" s="63">
        <v>26.0</v>
      </c>
      <c r="CB144" s="63">
        <v>3.0</v>
      </c>
      <c r="CC144" s="63">
        <v>42.0</v>
      </c>
      <c r="CD144" s="63">
        <v>12.0</v>
      </c>
      <c r="DB144" s="63">
        <v>15.0</v>
      </c>
      <c r="DG144" s="63">
        <v>15.0</v>
      </c>
      <c r="EP144" s="63">
        <v>12.0</v>
      </c>
      <c r="EU144" s="63">
        <v>12.0</v>
      </c>
      <c r="FF144" s="63">
        <v>14.0</v>
      </c>
    </row>
    <row r="145" ht="15.75" customHeight="1">
      <c r="A145" s="63" t="s">
        <v>701</v>
      </c>
      <c r="B145" s="63" t="s">
        <v>702</v>
      </c>
      <c r="C145" s="63" t="s">
        <v>703</v>
      </c>
      <c r="D145" s="63">
        <v>81052.0</v>
      </c>
      <c r="E145" s="63" t="s">
        <v>395</v>
      </c>
      <c r="F145" s="63">
        <v>29.0</v>
      </c>
      <c r="H145" s="63">
        <v>16.0</v>
      </c>
      <c r="I145" s="63">
        <v>33.0</v>
      </c>
      <c r="K145" s="63">
        <v>15.0</v>
      </c>
      <c r="M145" s="63">
        <v>3.0</v>
      </c>
      <c r="N145" s="63">
        <v>30.0</v>
      </c>
      <c r="O145" s="63">
        <v>3.0</v>
      </c>
      <c r="P145" s="63">
        <v>30.0</v>
      </c>
      <c r="W145" s="64">
        <v>33.0</v>
      </c>
      <c r="AB145" s="63">
        <v>5.0</v>
      </c>
      <c r="AG145" s="63">
        <v>5.0</v>
      </c>
      <c r="AR145" s="63">
        <v>12.0</v>
      </c>
      <c r="AT145" s="63">
        <v>8.0</v>
      </c>
      <c r="AU145" s="63">
        <v>6.0</v>
      </c>
      <c r="AW145" s="63">
        <v>15.0</v>
      </c>
      <c r="BB145" s="63">
        <v>15.0</v>
      </c>
      <c r="BI145" s="63">
        <v>11.0</v>
      </c>
      <c r="BM145" s="64"/>
      <c r="BN145" s="63">
        <v>5.0</v>
      </c>
      <c r="BO145" s="63">
        <v>15.0</v>
      </c>
      <c r="BT145" s="63">
        <v>1.0</v>
      </c>
      <c r="BV145" s="63">
        <v>5.0</v>
      </c>
      <c r="BY145" s="63">
        <v>3.0</v>
      </c>
      <c r="CC145" s="63">
        <v>11.0</v>
      </c>
    </row>
    <row r="146" ht="15.75" customHeight="1">
      <c r="A146" s="63" t="s">
        <v>704</v>
      </c>
      <c r="B146" s="63" t="s">
        <v>705</v>
      </c>
      <c r="C146" s="63" t="s">
        <v>706</v>
      </c>
      <c r="D146" s="63">
        <v>80817.0</v>
      </c>
      <c r="E146" s="63" t="s">
        <v>243</v>
      </c>
      <c r="H146" s="63">
        <v>198.0</v>
      </c>
      <c r="O146" s="63">
        <v>141.0</v>
      </c>
      <c r="P146" s="63">
        <v>54.0</v>
      </c>
      <c r="U146" s="63">
        <v>2.0</v>
      </c>
      <c r="W146" s="64">
        <v>1.0</v>
      </c>
      <c r="AT146" s="63">
        <v>64.0</v>
      </c>
      <c r="BA146" s="63">
        <v>8.0</v>
      </c>
      <c r="BB146" s="63">
        <v>56.0</v>
      </c>
      <c r="BK146" s="63">
        <v>4.2</v>
      </c>
      <c r="BM146" s="64"/>
      <c r="FJ146" s="63">
        <v>2.0</v>
      </c>
      <c r="FR146" s="63">
        <v>2.0</v>
      </c>
      <c r="GA146" s="63">
        <v>2.5</v>
      </c>
    </row>
    <row r="147" ht="15.75" customHeight="1">
      <c r="A147" s="63" t="s">
        <v>707</v>
      </c>
      <c r="B147" s="63" t="s">
        <v>708</v>
      </c>
      <c r="C147" s="63" t="s">
        <v>709</v>
      </c>
      <c r="D147" s="63">
        <v>80525.0</v>
      </c>
      <c r="E147" s="63" t="s">
        <v>275</v>
      </c>
      <c r="F147" s="63">
        <v>30.0</v>
      </c>
      <c r="G147" s="63">
        <v>1.0</v>
      </c>
      <c r="H147" s="63">
        <v>1566.0</v>
      </c>
      <c r="I147" s="63">
        <v>616.0</v>
      </c>
      <c r="J147" s="63">
        <v>153.0</v>
      </c>
      <c r="K147" s="63">
        <v>67.0</v>
      </c>
      <c r="L147" s="63">
        <v>24.0</v>
      </c>
      <c r="M147" s="63">
        <v>261.0</v>
      </c>
      <c r="N147" s="63">
        <v>961.0</v>
      </c>
      <c r="O147" s="63">
        <v>1337.0</v>
      </c>
      <c r="P147" s="63">
        <v>60.0</v>
      </c>
      <c r="Q147" s="63">
        <v>4.0</v>
      </c>
      <c r="R147" s="63">
        <v>12.0</v>
      </c>
      <c r="S147" s="63">
        <v>1.0</v>
      </c>
      <c r="U147" s="63">
        <v>167.0</v>
      </c>
      <c r="V147" s="63">
        <v>153.0</v>
      </c>
      <c r="W147" s="64">
        <v>20.0</v>
      </c>
      <c r="X147" s="63">
        <v>3.0</v>
      </c>
      <c r="Y147" s="63">
        <v>1.0</v>
      </c>
      <c r="Z147" s="63">
        <v>1.0</v>
      </c>
      <c r="AA147" s="63">
        <v>16.0</v>
      </c>
      <c r="AB147" s="63">
        <v>10.0</v>
      </c>
      <c r="AD147" s="63">
        <v>8.0</v>
      </c>
      <c r="AE147" s="63">
        <v>26.0</v>
      </c>
      <c r="AF147" s="63">
        <v>23.0</v>
      </c>
      <c r="AG147" s="63">
        <v>52.0</v>
      </c>
      <c r="AH147" s="63">
        <v>22.0</v>
      </c>
      <c r="AN147" s="63">
        <v>1.0</v>
      </c>
      <c r="AP147" s="63">
        <v>1.0</v>
      </c>
      <c r="AQ147" s="63">
        <v>9.0</v>
      </c>
      <c r="AR147" s="63">
        <v>47.0</v>
      </c>
      <c r="AS147" s="63">
        <v>1.0</v>
      </c>
      <c r="AT147" s="63">
        <v>768.0</v>
      </c>
      <c r="AU147" s="63">
        <v>609.0</v>
      </c>
      <c r="AV147" s="63">
        <v>102.0</v>
      </c>
      <c r="AW147" s="63">
        <v>33.0</v>
      </c>
      <c r="AX147" s="63">
        <v>33.0</v>
      </c>
      <c r="AY147" s="63">
        <v>104.0</v>
      </c>
      <c r="AZ147" s="63">
        <v>995.0</v>
      </c>
      <c r="BA147" s="63">
        <v>208.0</v>
      </c>
      <c r="BB147" s="63">
        <v>111.0</v>
      </c>
      <c r="BD147" s="63">
        <v>11.0</v>
      </c>
      <c r="BE147" s="63">
        <v>3.0</v>
      </c>
      <c r="BF147" s="63">
        <v>2.0</v>
      </c>
      <c r="BG147" s="63">
        <v>218.0</v>
      </c>
      <c r="BH147" s="63">
        <v>102.0</v>
      </c>
      <c r="BI147" s="63">
        <v>47.0</v>
      </c>
      <c r="BK147" s="63">
        <v>14.6</v>
      </c>
      <c r="BL147" s="63">
        <v>3.0</v>
      </c>
      <c r="BM147" s="64">
        <v>9.0</v>
      </c>
      <c r="BN147" s="63">
        <v>330.0</v>
      </c>
      <c r="BO147" s="63">
        <v>70.0</v>
      </c>
      <c r="BP147" s="63">
        <v>2.0</v>
      </c>
      <c r="BQ147" s="63">
        <v>22.0</v>
      </c>
      <c r="BR147" s="63">
        <v>50.0</v>
      </c>
      <c r="BS147" s="63">
        <v>18.0</v>
      </c>
      <c r="BT147" s="63">
        <v>414.0</v>
      </c>
      <c r="BU147" s="63">
        <v>3.0</v>
      </c>
      <c r="BV147" s="63">
        <v>14.0</v>
      </c>
      <c r="BY147" s="63">
        <v>23.0</v>
      </c>
      <c r="CA147" s="63">
        <v>36.0</v>
      </c>
      <c r="CB147" s="63">
        <v>2.0</v>
      </c>
      <c r="CC147" s="63">
        <v>5.0</v>
      </c>
      <c r="CD147" s="63">
        <v>7.0</v>
      </c>
      <c r="CE147" s="63">
        <v>4.0</v>
      </c>
      <c r="CG147" s="63">
        <v>44.0</v>
      </c>
      <c r="CH147" s="63">
        <v>115.0</v>
      </c>
      <c r="CI147" s="63">
        <v>1.0</v>
      </c>
      <c r="CL147" s="63">
        <v>24.0</v>
      </c>
      <c r="CM147" s="63">
        <v>136.0</v>
      </c>
      <c r="CN147" s="63">
        <v>25.0</v>
      </c>
      <c r="CO147" s="63">
        <v>9.0</v>
      </c>
      <c r="CR147" s="63">
        <v>6.0</v>
      </c>
      <c r="CT147" s="63">
        <v>9.0</v>
      </c>
      <c r="CU147" s="63">
        <v>1.0</v>
      </c>
      <c r="CV147" s="63">
        <v>2.0</v>
      </c>
      <c r="CX147" s="63">
        <v>13.97</v>
      </c>
      <c r="CY147" s="63">
        <v>4.0</v>
      </c>
      <c r="DA147" s="63">
        <v>43.0</v>
      </c>
      <c r="DB147" s="63">
        <v>233.0</v>
      </c>
      <c r="DC147" s="63">
        <v>12.0</v>
      </c>
      <c r="DF147" s="63">
        <v>20.0</v>
      </c>
      <c r="DG147" s="63">
        <v>245.0</v>
      </c>
      <c r="DH147" s="63">
        <v>3.0</v>
      </c>
      <c r="DI147" s="63">
        <v>9.0</v>
      </c>
      <c r="DL147" s="63">
        <v>4.0</v>
      </c>
      <c r="DN147" s="63">
        <v>36.0</v>
      </c>
      <c r="DO147" s="63">
        <v>12.0</v>
      </c>
      <c r="DP147" s="63">
        <v>3.0</v>
      </c>
      <c r="DR147" s="63">
        <v>18.57</v>
      </c>
      <c r="DU147" s="63">
        <v>13.0</v>
      </c>
      <c r="DV147" s="63">
        <v>15.0</v>
      </c>
      <c r="DZ147" s="63">
        <v>3.0</v>
      </c>
      <c r="EA147" s="63">
        <v>21.0</v>
      </c>
      <c r="EB147" s="63">
        <v>2.0</v>
      </c>
      <c r="EF147" s="63">
        <v>1.0</v>
      </c>
      <c r="EH147" s="63">
        <v>2.0</v>
      </c>
      <c r="EJ147" s="63">
        <v>5.0</v>
      </c>
      <c r="EL147" s="63">
        <v>18.44</v>
      </c>
      <c r="EM147" s="63">
        <v>2.0</v>
      </c>
      <c r="EO147" s="63">
        <v>35.0</v>
      </c>
      <c r="EP147" s="63">
        <v>57.0</v>
      </c>
      <c r="EQ147" s="63">
        <v>4.0</v>
      </c>
      <c r="ER147" s="63">
        <v>3.0</v>
      </c>
      <c r="ET147" s="63">
        <v>11.0</v>
      </c>
      <c r="EU147" s="63">
        <v>79.0</v>
      </c>
      <c r="EV147" s="63">
        <v>10.0</v>
      </c>
      <c r="EZ147" s="63">
        <v>2.0</v>
      </c>
      <c r="FB147" s="63">
        <v>9.0</v>
      </c>
      <c r="FC147" s="63">
        <v>4.0</v>
      </c>
      <c r="FD147" s="63">
        <v>7.0</v>
      </c>
      <c r="FE147" s="63">
        <v>1.0</v>
      </c>
      <c r="FF147" s="63">
        <v>14.52</v>
      </c>
      <c r="FG147" s="63">
        <v>6.0</v>
      </c>
      <c r="FJ147" s="63">
        <v>11.0</v>
      </c>
      <c r="FK147" s="63">
        <v>17.0</v>
      </c>
      <c r="FO147" s="63">
        <v>4.0</v>
      </c>
      <c r="FP147" s="63">
        <v>21.0</v>
      </c>
      <c r="FQ147" s="63">
        <v>8.0</v>
      </c>
      <c r="FR147" s="63">
        <v>1.0</v>
      </c>
      <c r="FU147" s="63">
        <v>7.0</v>
      </c>
      <c r="FW147" s="63">
        <v>1.0</v>
      </c>
      <c r="GA147" s="63">
        <v>13.85</v>
      </c>
    </row>
    <row r="148" ht="15.75" customHeight="1">
      <c r="A148" s="63" t="s">
        <v>710</v>
      </c>
      <c r="B148" s="63" t="s">
        <v>711</v>
      </c>
      <c r="C148" s="63" t="s">
        <v>712</v>
      </c>
      <c r="D148" s="63">
        <v>80461.0</v>
      </c>
      <c r="E148" s="63" t="s">
        <v>713</v>
      </c>
      <c r="F148" s="63">
        <v>9.0</v>
      </c>
      <c r="H148" s="63">
        <v>168.0</v>
      </c>
      <c r="I148" s="63">
        <v>19.0</v>
      </c>
      <c r="K148" s="63">
        <v>1.0</v>
      </c>
      <c r="M148" s="63">
        <v>2.0</v>
      </c>
      <c r="N148" s="63">
        <v>40.0</v>
      </c>
      <c r="O148" s="63">
        <v>118.0</v>
      </c>
      <c r="P148" s="63">
        <v>14.0</v>
      </c>
      <c r="U148" s="63">
        <v>2.0</v>
      </c>
      <c r="W148" s="64">
        <v>5.0</v>
      </c>
      <c r="AA148" s="63">
        <v>6.0</v>
      </c>
      <c r="AG148" s="63">
        <v>6.0</v>
      </c>
      <c r="AR148" s="63">
        <v>4.0</v>
      </c>
      <c r="AT148" s="63">
        <v>45.0</v>
      </c>
      <c r="AU148" s="63">
        <v>3.0</v>
      </c>
      <c r="AZ148" s="63">
        <v>21.0</v>
      </c>
      <c r="BA148" s="63">
        <v>4.0</v>
      </c>
      <c r="BB148" s="63">
        <v>9.0</v>
      </c>
      <c r="BG148" s="63">
        <v>3.0</v>
      </c>
      <c r="BH148" s="63">
        <v>4.0</v>
      </c>
      <c r="BI148" s="63">
        <v>4.0</v>
      </c>
      <c r="BK148" s="63">
        <v>6.0</v>
      </c>
      <c r="BM148" s="64"/>
      <c r="BN148" s="63">
        <v>4.0</v>
      </c>
      <c r="BT148" s="63">
        <v>3.0</v>
      </c>
    </row>
    <row r="149" ht="15.75" customHeight="1">
      <c r="A149" s="63" t="s">
        <v>714</v>
      </c>
      <c r="B149" s="63" t="s">
        <v>715</v>
      </c>
      <c r="C149" s="63" t="s">
        <v>716</v>
      </c>
      <c r="D149" s="63">
        <v>80219.0</v>
      </c>
      <c r="E149" s="63" t="s">
        <v>421</v>
      </c>
      <c r="F149" s="63">
        <v>9.0</v>
      </c>
      <c r="G149" s="63">
        <v>9.0</v>
      </c>
      <c r="H149" s="63">
        <v>3.0</v>
      </c>
      <c r="I149" s="63">
        <v>13.0</v>
      </c>
      <c r="K149" s="63">
        <v>41.0</v>
      </c>
      <c r="L149" s="63">
        <v>146.0</v>
      </c>
      <c r="N149" s="63">
        <v>200.0</v>
      </c>
      <c r="P149" s="63">
        <v>3.0</v>
      </c>
      <c r="U149" s="63">
        <v>3.0</v>
      </c>
      <c r="W149" s="64">
        <v>6.0</v>
      </c>
      <c r="X149" s="63">
        <v>6.0</v>
      </c>
      <c r="Y149" s="63">
        <v>22.0</v>
      </c>
      <c r="Z149" s="63">
        <v>22.0</v>
      </c>
      <c r="AA149" s="63">
        <v>11.0</v>
      </c>
      <c r="AB149" s="63">
        <v>6.0</v>
      </c>
      <c r="AD149" s="63">
        <v>17.0</v>
      </c>
      <c r="AE149" s="63">
        <v>160.0</v>
      </c>
      <c r="AG149" s="63">
        <v>214.0</v>
      </c>
      <c r="AL149" s="63">
        <v>1.0</v>
      </c>
      <c r="AP149" s="63">
        <v>1.0</v>
      </c>
      <c r="AQ149" s="63">
        <v>1.0</v>
      </c>
      <c r="AR149" s="63">
        <v>6.0</v>
      </c>
      <c r="AS149" s="63">
        <v>4.0</v>
      </c>
      <c r="AT149" s="63">
        <v>5.0</v>
      </c>
      <c r="AU149" s="63">
        <v>5.0</v>
      </c>
      <c r="AW149" s="63">
        <v>64.0</v>
      </c>
      <c r="AX149" s="63">
        <v>9.0</v>
      </c>
      <c r="AZ149" s="63">
        <v>71.0</v>
      </c>
      <c r="BB149" s="63">
        <v>1.0</v>
      </c>
      <c r="BD149" s="63">
        <v>4.0</v>
      </c>
      <c r="BE149" s="63">
        <v>2.0</v>
      </c>
      <c r="BI149" s="63">
        <v>18.0</v>
      </c>
      <c r="BJ149" s="63">
        <v>6.0</v>
      </c>
      <c r="BK149" s="63">
        <v>54.0</v>
      </c>
      <c r="BL149" s="63">
        <v>15.0</v>
      </c>
      <c r="BM149" s="64">
        <v>7.0</v>
      </c>
      <c r="BN149" s="63">
        <v>65.0</v>
      </c>
      <c r="BO149" s="63">
        <v>4.0</v>
      </c>
      <c r="BQ149" s="63">
        <v>448.0</v>
      </c>
      <c r="BR149" s="63">
        <v>15.0</v>
      </c>
      <c r="BT149" s="63">
        <v>405.0</v>
      </c>
      <c r="BV149" s="63">
        <v>10.0</v>
      </c>
      <c r="BY149" s="63">
        <v>99.0</v>
      </c>
      <c r="CA149" s="63">
        <v>6.0</v>
      </c>
      <c r="CC149" s="63">
        <v>27.0</v>
      </c>
      <c r="CD149" s="63">
        <v>11.0</v>
      </c>
      <c r="CG149" s="63">
        <v>1.0</v>
      </c>
      <c r="CJ149" s="63">
        <v>8.0</v>
      </c>
      <c r="CM149" s="63">
        <v>9.0</v>
      </c>
      <c r="CX149" s="63">
        <v>3.0</v>
      </c>
    </row>
    <row r="150" ht="15.75" customHeight="1">
      <c r="A150" s="63" t="s">
        <v>717</v>
      </c>
      <c r="B150" s="63" t="s">
        <v>715</v>
      </c>
      <c r="C150" s="63" t="s">
        <v>718</v>
      </c>
      <c r="D150" s="63">
        <v>80235.0</v>
      </c>
      <c r="E150" s="63" t="s">
        <v>239</v>
      </c>
      <c r="F150" s="63">
        <v>9.0</v>
      </c>
      <c r="G150" s="63">
        <v>9.0</v>
      </c>
      <c r="H150" s="63">
        <v>3.0</v>
      </c>
      <c r="I150" s="63">
        <v>13.0</v>
      </c>
      <c r="K150" s="63">
        <v>41.0</v>
      </c>
      <c r="L150" s="63">
        <v>146.0</v>
      </c>
      <c r="N150" s="63">
        <v>200.0</v>
      </c>
      <c r="P150" s="63">
        <v>3.0</v>
      </c>
      <c r="U150" s="63">
        <v>3.0</v>
      </c>
      <c r="W150" s="64">
        <v>6.0</v>
      </c>
      <c r="X150" s="63">
        <v>6.0</v>
      </c>
      <c r="Y150" s="63">
        <v>22.0</v>
      </c>
      <c r="Z150" s="63">
        <v>22.0</v>
      </c>
      <c r="AA150" s="63">
        <v>11.0</v>
      </c>
      <c r="AB150" s="63">
        <v>6.0</v>
      </c>
      <c r="AD150" s="63">
        <v>17.0</v>
      </c>
      <c r="AE150" s="63">
        <v>160.0</v>
      </c>
      <c r="AG150" s="63">
        <v>214.0</v>
      </c>
      <c r="AL150" s="63">
        <v>1.0</v>
      </c>
      <c r="AP150" s="63">
        <v>1.0</v>
      </c>
      <c r="AQ150" s="63">
        <v>1.0</v>
      </c>
      <c r="AR150" s="63">
        <v>6.0</v>
      </c>
      <c r="AS150" s="63">
        <v>4.0</v>
      </c>
      <c r="AT150" s="63">
        <v>5.0</v>
      </c>
      <c r="AU150" s="63">
        <v>11.0</v>
      </c>
      <c r="AW150" s="63">
        <v>64.0</v>
      </c>
      <c r="AX150" s="63">
        <v>9.0</v>
      </c>
      <c r="AZ150" s="63">
        <v>71.0</v>
      </c>
      <c r="BB150" s="63">
        <v>1.0</v>
      </c>
      <c r="BD150" s="63">
        <v>4.0</v>
      </c>
      <c r="BE150" s="63">
        <v>2.0</v>
      </c>
      <c r="BI150" s="63">
        <v>18.0</v>
      </c>
      <c r="BJ150" s="63">
        <v>6.0</v>
      </c>
      <c r="BK150" s="63">
        <v>54.0</v>
      </c>
      <c r="BL150" s="63">
        <v>15.0</v>
      </c>
      <c r="BM150" s="64">
        <v>7.0</v>
      </c>
      <c r="BN150" s="63">
        <v>65.0</v>
      </c>
      <c r="BO150" s="63">
        <v>4.0</v>
      </c>
      <c r="BQ150" s="63">
        <v>448.0</v>
      </c>
      <c r="BR150" s="63">
        <v>15.0</v>
      </c>
      <c r="BT150" s="63">
        <v>405.0</v>
      </c>
      <c r="BV150" s="63">
        <v>10.0</v>
      </c>
      <c r="BY150" s="63">
        <v>99.0</v>
      </c>
      <c r="CA150" s="63">
        <v>6.0</v>
      </c>
      <c r="CC150" s="63">
        <v>27.0</v>
      </c>
      <c r="CD150" s="63">
        <v>11.0</v>
      </c>
      <c r="CG150" s="63">
        <v>1.0</v>
      </c>
      <c r="CJ150" s="63">
        <v>8.0</v>
      </c>
      <c r="CM150" s="63">
        <v>9.0</v>
      </c>
      <c r="CX150" s="63">
        <v>3.0</v>
      </c>
      <c r="DB150" s="63">
        <v>5.0</v>
      </c>
      <c r="DD150" s="63">
        <v>1.0</v>
      </c>
      <c r="DG150" s="63">
        <v>6.0</v>
      </c>
      <c r="DR150" s="63">
        <v>12.0</v>
      </c>
      <c r="EO150" s="63">
        <v>2.0</v>
      </c>
      <c r="ER150" s="63">
        <v>9.0</v>
      </c>
      <c r="EU150" s="63">
        <v>8.0</v>
      </c>
      <c r="FD150" s="63">
        <v>3.0</v>
      </c>
      <c r="FE150" s="63">
        <v>3.0</v>
      </c>
      <c r="FF150" s="63">
        <v>31.0</v>
      </c>
      <c r="FM150" s="63">
        <v>24.0</v>
      </c>
      <c r="FP150" s="63">
        <v>24.0</v>
      </c>
    </row>
    <row r="151" ht="15.75" customHeight="1">
      <c r="A151" s="63" t="s">
        <v>719</v>
      </c>
      <c r="B151" s="63" t="s">
        <v>720</v>
      </c>
      <c r="C151" s="63" t="s">
        <v>721</v>
      </c>
      <c r="D151" s="63">
        <v>80602.0</v>
      </c>
      <c r="E151" s="63" t="s">
        <v>250</v>
      </c>
      <c r="F151" s="63">
        <v>23.0</v>
      </c>
      <c r="K151" s="63">
        <v>11.0</v>
      </c>
      <c r="L151" s="63">
        <v>30.0</v>
      </c>
      <c r="N151" s="63">
        <v>40.0</v>
      </c>
      <c r="W151" s="64">
        <v>1.0</v>
      </c>
      <c r="Y151" s="63">
        <v>21.0</v>
      </c>
      <c r="AD151" s="63">
        <v>194.0</v>
      </c>
      <c r="AE151" s="63">
        <v>1120.0</v>
      </c>
      <c r="AG151" s="63">
        <v>1266.0</v>
      </c>
      <c r="AL151" s="63">
        <v>14.0</v>
      </c>
      <c r="AM151" s="63">
        <v>1.0</v>
      </c>
      <c r="AP151" s="63">
        <v>35.0</v>
      </c>
      <c r="BM151" s="64"/>
    </row>
    <row r="152" ht="15.75" customHeight="1">
      <c r="A152" s="63" t="s">
        <v>722</v>
      </c>
      <c r="B152" s="63" t="s">
        <v>723</v>
      </c>
      <c r="C152" s="63" t="s">
        <v>724</v>
      </c>
      <c r="D152" s="63">
        <v>80470.0</v>
      </c>
      <c r="E152" s="63" t="s">
        <v>486</v>
      </c>
      <c r="F152" s="63">
        <v>19.0</v>
      </c>
      <c r="I152" s="63">
        <v>3.0</v>
      </c>
      <c r="N152" s="63">
        <v>1.0</v>
      </c>
      <c r="W152" s="64">
        <v>21.0</v>
      </c>
      <c r="AR152" s="63">
        <v>2.0</v>
      </c>
      <c r="BI152" s="63">
        <v>2.0</v>
      </c>
      <c r="BK152" s="63">
        <v>365.0</v>
      </c>
      <c r="BM152" s="64"/>
      <c r="DS152" s="63">
        <v>1.0</v>
      </c>
      <c r="EJ152" s="63">
        <v>1.0</v>
      </c>
      <c r="EL152" s="63">
        <v>365.0</v>
      </c>
    </row>
    <row r="153" ht="15.75" customHeight="1">
      <c r="A153" s="63" t="s">
        <v>725</v>
      </c>
      <c r="B153" s="63" t="s">
        <v>726</v>
      </c>
      <c r="C153" s="63" t="s">
        <v>727</v>
      </c>
      <c r="D153" s="63">
        <v>80751.0</v>
      </c>
      <c r="E153" s="63" t="s">
        <v>728</v>
      </c>
      <c r="F153" s="63">
        <v>13.0</v>
      </c>
      <c r="G153" s="63">
        <v>1.0</v>
      </c>
      <c r="H153" s="63">
        <v>166.0</v>
      </c>
      <c r="I153" s="63">
        <v>26.0</v>
      </c>
      <c r="J153" s="63">
        <v>5.0</v>
      </c>
      <c r="M153" s="63">
        <v>73.0</v>
      </c>
      <c r="N153" s="63">
        <v>19.0</v>
      </c>
      <c r="O153" s="63">
        <v>162.0</v>
      </c>
      <c r="P153" s="63">
        <v>76.0</v>
      </c>
      <c r="U153" s="63">
        <v>5.0</v>
      </c>
      <c r="V153" s="63">
        <v>5.0</v>
      </c>
      <c r="W153" s="64">
        <v>14.0</v>
      </c>
      <c r="X153" s="63">
        <v>4.0</v>
      </c>
      <c r="AA153" s="63">
        <v>18.0</v>
      </c>
      <c r="AB153" s="63">
        <v>7.0</v>
      </c>
      <c r="AG153" s="63">
        <v>2.0</v>
      </c>
      <c r="AH153" s="63">
        <v>6.0</v>
      </c>
      <c r="AI153" s="63">
        <v>11.0</v>
      </c>
      <c r="AL153" s="63">
        <v>3.0</v>
      </c>
      <c r="AR153" s="63">
        <v>7.0</v>
      </c>
      <c r="AS153" s="63">
        <v>1.0</v>
      </c>
      <c r="AT153" s="63">
        <v>55.0</v>
      </c>
      <c r="AU153" s="63">
        <v>16.0</v>
      </c>
      <c r="AV153" s="63">
        <v>1.0</v>
      </c>
      <c r="AY153" s="63">
        <v>70.0</v>
      </c>
      <c r="AZ153" s="63">
        <v>7.0</v>
      </c>
      <c r="BA153" s="63">
        <v>4.0</v>
      </c>
      <c r="BB153" s="63">
        <v>51.0</v>
      </c>
      <c r="BD153" s="63">
        <v>69.0</v>
      </c>
      <c r="BE153" s="63">
        <v>3.0</v>
      </c>
      <c r="BG153" s="63">
        <v>10.0</v>
      </c>
      <c r="BH153" s="63">
        <v>1.0</v>
      </c>
      <c r="BI153" s="63">
        <v>5.0</v>
      </c>
      <c r="BJ153" s="63">
        <v>2.0</v>
      </c>
      <c r="BK153" s="63">
        <v>17.0</v>
      </c>
      <c r="BL153" s="63">
        <v>2.0</v>
      </c>
      <c r="BM153" s="64"/>
      <c r="BN153" s="63">
        <v>89.0</v>
      </c>
      <c r="BO153" s="63">
        <v>18.0</v>
      </c>
      <c r="BS153" s="63">
        <v>9.0</v>
      </c>
      <c r="BT153" s="63">
        <v>3.0</v>
      </c>
      <c r="BV153" s="63">
        <v>73.0</v>
      </c>
      <c r="BX153" s="63">
        <v>8.0</v>
      </c>
      <c r="BY153" s="63">
        <v>14.0</v>
      </c>
      <c r="CA153" s="63">
        <v>4.0</v>
      </c>
      <c r="CC153" s="63">
        <v>8.0</v>
      </c>
      <c r="CD153" s="63">
        <v>8.0</v>
      </c>
      <c r="DB153" s="63">
        <v>4.0</v>
      </c>
      <c r="DG153" s="63">
        <v>4.0</v>
      </c>
      <c r="DR153" s="63">
        <v>6.0</v>
      </c>
    </row>
    <row r="154" ht="15.75" customHeight="1">
      <c r="A154" s="63" t="s">
        <v>729</v>
      </c>
      <c r="B154" s="63" t="s">
        <v>730</v>
      </c>
      <c r="C154" s="63" t="s">
        <v>731</v>
      </c>
      <c r="D154" s="63">
        <v>81505.0</v>
      </c>
      <c r="E154" s="63" t="s">
        <v>417</v>
      </c>
      <c r="W154" s="64"/>
      <c r="AR154" s="63">
        <v>72.0</v>
      </c>
      <c r="AS154" s="63">
        <v>26.0</v>
      </c>
      <c r="AT154" s="63">
        <v>15.0</v>
      </c>
      <c r="AU154" s="63">
        <v>9.0</v>
      </c>
      <c r="AZ154" s="63">
        <v>8.0</v>
      </c>
      <c r="BE154" s="63">
        <v>2.0</v>
      </c>
      <c r="BF154" s="63">
        <v>3.0</v>
      </c>
      <c r="BI154" s="63">
        <v>74.0</v>
      </c>
      <c r="BJ154" s="63">
        <v>22.0</v>
      </c>
      <c r="BK154" s="63">
        <v>360.0</v>
      </c>
      <c r="BM154" s="64"/>
      <c r="BN154" s="63">
        <v>62.0</v>
      </c>
      <c r="BO154" s="63">
        <v>22.0</v>
      </c>
      <c r="BT154" s="63">
        <v>84.0</v>
      </c>
    </row>
    <row r="155" ht="15.75" customHeight="1">
      <c r="A155" s="63" t="s">
        <v>732</v>
      </c>
      <c r="B155" s="63" t="s">
        <v>733</v>
      </c>
      <c r="C155" s="63" t="s">
        <v>734</v>
      </c>
      <c r="D155" s="63">
        <v>80501.0</v>
      </c>
      <c r="E155" s="63" t="s">
        <v>279</v>
      </c>
      <c r="F155" s="63">
        <v>78.0</v>
      </c>
      <c r="G155" s="63">
        <v>11.0</v>
      </c>
      <c r="H155" s="63">
        <v>949.0</v>
      </c>
      <c r="I155" s="63">
        <v>466.0</v>
      </c>
      <c r="K155" s="63">
        <v>103.0</v>
      </c>
      <c r="L155" s="63">
        <v>384.0</v>
      </c>
      <c r="M155" s="63">
        <v>15.0</v>
      </c>
      <c r="N155" s="63">
        <v>1318.0</v>
      </c>
      <c r="O155" s="63">
        <v>586.0</v>
      </c>
      <c r="P155" s="63">
        <v>31.0</v>
      </c>
      <c r="Q155" s="63">
        <v>11.0</v>
      </c>
      <c r="S155" s="63">
        <v>3.0</v>
      </c>
      <c r="U155" s="63">
        <v>71.0</v>
      </c>
      <c r="W155" s="64">
        <v>67.0</v>
      </c>
      <c r="X155" s="63">
        <v>11.0</v>
      </c>
      <c r="Y155" s="63">
        <v>19.0</v>
      </c>
      <c r="Z155" s="63">
        <v>7.0</v>
      </c>
      <c r="AA155" s="63">
        <v>2.0</v>
      </c>
      <c r="AB155" s="63">
        <v>1.0</v>
      </c>
      <c r="AD155" s="63">
        <v>55.0</v>
      </c>
      <c r="AE155" s="63">
        <v>106.0</v>
      </c>
      <c r="AG155" s="63">
        <v>216.0</v>
      </c>
      <c r="AH155" s="63">
        <v>18.0</v>
      </c>
      <c r="AP155" s="63">
        <v>7.0</v>
      </c>
      <c r="AQ155" s="63">
        <v>12.0</v>
      </c>
      <c r="AR155" s="63">
        <v>45.0</v>
      </c>
      <c r="AS155" s="63">
        <v>12.0</v>
      </c>
      <c r="AT155" s="63">
        <v>554.0</v>
      </c>
      <c r="AU155" s="63">
        <v>452.0</v>
      </c>
      <c r="AW155" s="63">
        <v>17.0</v>
      </c>
      <c r="AX155" s="63">
        <v>21.0</v>
      </c>
      <c r="AY155" s="63">
        <v>9.0</v>
      </c>
      <c r="AZ155" s="63">
        <v>679.0</v>
      </c>
      <c r="BA155" s="63">
        <v>116.0</v>
      </c>
      <c r="BB155" s="63">
        <v>75.0</v>
      </c>
      <c r="BC155" s="63">
        <v>24.0</v>
      </c>
      <c r="BE155" s="63">
        <v>1.0</v>
      </c>
      <c r="BG155" s="63">
        <v>76.0</v>
      </c>
      <c r="BI155" s="63">
        <v>57.0</v>
      </c>
      <c r="BJ155" s="63">
        <v>12.0</v>
      </c>
      <c r="BK155" s="63">
        <v>25.0</v>
      </c>
      <c r="BL155" s="63">
        <v>7.0</v>
      </c>
      <c r="BM155" s="64">
        <v>6.0</v>
      </c>
      <c r="BN155" s="63">
        <v>376.0</v>
      </c>
      <c r="BO155" s="63">
        <v>40.0</v>
      </c>
      <c r="BQ155" s="63">
        <v>42.0</v>
      </c>
      <c r="BR155" s="63">
        <v>47.0</v>
      </c>
      <c r="BT155" s="63">
        <v>421.0</v>
      </c>
      <c r="BU155" s="63">
        <v>4.0</v>
      </c>
      <c r="BV155" s="63">
        <v>30.0</v>
      </c>
      <c r="BY155" s="63">
        <v>16.0</v>
      </c>
      <c r="CA155" s="63">
        <v>11.0</v>
      </c>
      <c r="CC155" s="63">
        <v>7.0</v>
      </c>
      <c r="CD155" s="63">
        <v>6.0</v>
      </c>
      <c r="CE155" s="63">
        <v>1.0</v>
      </c>
      <c r="CG155" s="63">
        <v>16.0</v>
      </c>
      <c r="CH155" s="63">
        <v>14.0</v>
      </c>
      <c r="CM155" s="63">
        <v>22.0</v>
      </c>
      <c r="CO155" s="63">
        <v>2.0</v>
      </c>
      <c r="CR155" s="63">
        <v>2.0</v>
      </c>
      <c r="CT155" s="63">
        <v>1.0</v>
      </c>
      <c r="CV155" s="63">
        <v>2.0</v>
      </c>
      <c r="CX155" s="63">
        <v>9.0</v>
      </c>
      <c r="CY155" s="63">
        <v>14.0</v>
      </c>
      <c r="DA155" s="63">
        <v>14.0</v>
      </c>
      <c r="DB155" s="63">
        <v>89.0</v>
      </c>
      <c r="DC155" s="63">
        <v>2.0</v>
      </c>
      <c r="DG155" s="63">
        <v>78.0</v>
      </c>
      <c r="DH155" s="63">
        <v>4.0</v>
      </c>
      <c r="DI155" s="63">
        <v>6.0</v>
      </c>
      <c r="DP155" s="63">
        <v>6.0</v>
      </c>
      <c r="DR155" s="63">
        <v>23.0</v>
      </c>
      <c r="EM155" s="63">
        <v>1.0</v>
      </c>
      <c r="EO155" s="63">
        <v>26.0</v>
      </c>
      <c r="EP155" s="63">
        <v>39.0</v>
      </c>
      <c r="EQ155" s="63">
        <v>1.0</v>
      </c>
      <c r="EU155" s="63">
        <v>47.0</v>
      </c>
      <c r="EV155" s="63">
        <v>1.0</v>
      </c>
      <c r="EW155" s="63">
        <v>14.0</v>
      </c>
      <c r="EZ155" s="63">
        <v>1.0</v>
      </c>
      <c r="FB155" s="63">
        <v>3.0</v>
      </c>
      <c r="FC155" s="63">
        <v>1.0</v>
      </c>
      <c r="FD155" s="63">
        <v>1.0</v>
      </c>
      <c r="FF155" s="63">
        <v>23.0</v>
      </c>
      <c r="FK155" s="63">
        <v>1.0</v>
      </c>
      <c r="FL155" s="63">
        <v>1.0</v>
      </c>
      <c r="FR155" s="63">
        <v>1.0</v>
      </c>
      <c r="FW155" s="63">
        <v>1.0</v>
      </c>
    </row>
    <row r="156" ht="15.75" customHeight="1">
      <c r="A156" s="63" t="s">
        <v>735</v>
      </c>
      <c r="B156" s="63" t="s">
        <v>736</v>
      </c>
      <c r="C156" s="63" t="s">
        <v>737</v>
      </c>
      <c r="D156" s="63">
        <v>80909.0</v>
      </c>
      <c r="E156" s="63" t="s">
        <v>243</v>
      </c>
      <c r="W156" s="64"/>
      <c r="AR156" s="63">
        <v>72.0</v>
      </c>
      <c r="AS156" s="63">
        <v>6.0</v>
      </c>
      <c r="AT156" s="63">
        <v>1.0</v>
      </c>
      <c r="AU156" s="63">
        <v>75.0</v>
      </c>
      <c r="AW156" s="63">
        <v>64.0</v>
      </c>
      <c r="AX156" s="63">
        <v>13.0</v>
      </c>
      <c r="AY156" s="63">
        <v>42.0</v>
      </c>
      <c r="AZ156" s="63">
        <v>178.0</v>
      </c>
      <c r="BB156" s="63">
        <v>10.0</v>
      </c>
      <c r="BD156" s="63">
        <v>42.0</v>
      </c>
      <c r="BE156" s="63">
        <v>8.0</v>
      </c>
      <c r="BI156" s="63">
        <v>129.0</v>
      </c>
      <c r="BK156" s="63">
        <v>107.0</v>
      </c>
      <c r="BL156" s="63">
        <v>16.0</v>
      </c>
      <c r="BM156" s="64">
        <v>7.0</v>
      </c>
      <c r="BO156" s="63">
        <v>70.0</v>
      </c>
      <c r="BQ156" s="63">
        <v>54.0</v>
      </c>
      <c r="BR156" s="63">
        <v>6.0</v>
      </c>
      <c r="BT156" s="63">
        <v>33.0</v>
      </c>
      <c r="BY156" s="63">
        <v>19.0</v>
      </c>
      <c r="CD156" s="63">
        <v>5.0</v>
      </c>
    </row>
    <row r="157" ht="15.75" customHeight="1">
      <c r="A157" s="63" t="s">
        <v>738</v>
      </c>
      <c r="B157" s="63" t="s">
        <v>739</v>
      </c>
      <c r="C157" s="63" t="s">
        <v>740</v>
      </c>
      <c r="D157" s="63">
        <v>81611.0</v>
      </c>
      <c r="E157" s="63" t="s">
        <v>302</v>
      </c>
      <c r="G157" s="63">
        <v>6.0</v>
      </c>
      <c r="H157" s="63">
        <v>3.0</v>
      </c>
      <c r="I157" s="63">
        <v>20.0</v>
      </c>
      <c r="K157" s="63">
        <v>9.0</v>
      </c>
      <c r="L157" s="63">
        <v>42.0</v>
      </c>
      <c r="N157" s="63">
        <v>73.0</v>
      </c>
      <c r="O157" s="63">
        <v>2.0</v>
      </c>
      <c r="Q157" s="63">
        <v>1.0</v>
      </c>
      <c r="W157" s="64"/>
      <c r="X157" s="63">
        <v>4.0</v>
      </c>
      <c r="AD157" s="63">
        <v>4.0</v>
      </c>
      <c r="AE157" s="63">
        <v>3.0</v>
      </c>
      <c r="AG157" s="63">
        <v>7.0</v>
      </c>
      <c r="AQ157" s="63">
        <v>1.0</v>
      </c>
      <c r="AT157" s="63">
        <v>1.0</v>
      </c>
      <c r="AZ157" s="63">
        <v>1.0</v>
      </c>
      <c r="BK157" s="63">
        <v>5.0</v>
      </c>
      <c r="BM157" s="64"/>
    </row>
    <row r="158" ht="15.75" customHeight="1">
      <c r="A158" s="63" t="s">
        <v>741</v>
      </c>
      <c r="B158" s="63" t="s">
        <v>742</v>
      </c>
      <c r="C158" s="63" t="s">
        <v>743</v>
      </c>
      <c r="D158" s="63">
        <v>80907.0</v>
      </c>
      <c r="E158" s="63" t="s">
        <v>243</v>
      </c>
      <c r="F158" s="63">
        <v>8.0</v>
      </c>
      <c r="G158" s="63">
        <v>8.0</v>
      </c>
      <c r="I158" s="63">
        <v>3.0</v>
      </c>
      <c r="L158" s="63">
        <v>3.0</v>
      </c>
      <c r="M158" s="63">
        <v>3.0</v>
      </c>
      <c r="N158" s="63">
        <v>13.0</v>
      </c>
      <c r="O158" s="63">
        <v>1.0</v>
      </c>
      <c r="S158" s="63">
        <v>1.0</v>
      </c>
      <c r="W158" s="64"/>
      <c r="X158" s="63">
        <v>3.0</v>
      </c>
      <c r="Z158" s="63">
        <v>1.0</v>
      </c>
      <c r="AA158" s="63">
        <v>4.0</v>
      </c>
      <c r="AB158" s="63">
        <v>16.0</v>
      </c>
      <c r="AE158" s="63">
        <v>13.0</v>
      </c>
      <c r="AF158" s="63">
        <v>2.0</v>
      </c>
      <c r="AG158" s="63">
        <v>34.0</v>
      </c>
      <c r="AH158" s="63">
        <v>1.0</v>
      </c>
      <c r="BM158" s="64"/>
    </row>
    <row r="159" ht="15.75" customHeight="1">
      <c r="A159" s="63" t="s">
        <v>744</v>
      </c>
      <c r="B159" s="63" t="s">
        <v>745</v>
      </c>
      <c r="C159" s="63" t="s">
        <v>746</v>
      </c>
      <c r="D159" s="63">
        <v>80403.0</v>
      </c>
      <c r="E159" s="63" t="s">
        <v>239</v>
      </c>
      <c r="W159" s="64"/>
      <c r="AR159" s="63">
        <v>3.0</v>
      </c>
      <c r="AS159" s="63">
        <v>1.0</v>
      </c>
      <c r="AT159" s="63">
        <v>3.0</v>
      </c>
      <c r="AW159" s="63">
        <v>3.0</v>
      </c>
      <c r="AZ159" s="63">
        <v>2.0</v>
      </c>
      <c r="BB159" s="63">
        <v>3.0</v>
      </c>
      <c r="BI159" s="63">
        <v>3.0</v>
      </c>
      <c r="BJ159" s="63">
        <v>3.0</v>
      </c>
      <c r="BK159" s="63">
        <v>30.0</v>
      </c>
      <c r="BL159" s="63">
        <v>2.0</v>
      </c>
      <c r="BM159" s="64">
        <v>2.0</v>
      </c>
      <c r="BN159" s="63">
        <v>2.0</v>
      </c>
      <c r="BQ159" s="63">
        <v>27.0</v>
      </c>
      <c r="BT159" s="63">
        <v>8.0</v>
      </c>
      <c r="BV159" s="63">
        <v>21.0</v>
      </c>
      <c r="BY159" s="63">
        <v>1.0</v>
      </c>
      <c r="CC159" s="63">
        <v>1.0</v>
      </c>
      <c r="CD159" s="63">
        <v>1.0</v>
      </c>
    </row>
    <row r="160" ht="15.75" customHeight="1">
      <c r="A160" s="63" t="s">
        <v>747</v>
      </c>
      <c r="B160" s="63" t="s">
        <v>748</v>
      </c>
      <c r="C160" s="63" t="s">
        <v>749</v>
      </c>
      <c r="D160" s="63">
        <v>80864.0</v>
      </c>
      <c r="E160" s="63" t="s">
        <v>243</v>
      </c>
      <c r="F160" s="63">
        <v>49.0</v>
      </c>
      <c r="I160" s="63">
        <v>15.0</v>
      </c>
      <c r="K160" s="63">
        <v>3.0</v>
      </c>
      <c r="L160" s="63">
        <v>2.0</v>
      </c>
      <c r="M160" s="63">
        <v>1.0</v>
      </c>
      <c r="N160" s="63">
        <v>7.0</v>
      </c>
      <c r="S160" s="63">
        <v>1.0</v>
      </c>
      <c r="U160" s="63">
        <v>2.0</v>
      </c>
      <c r="W160" s="64">
        <v>60.0</v>
      </c>
      <c r="BM160" s="64"/>
    </row>
    <row r="161" ht="15.75" customHeight="1">
      <c r="A161" s="63" t="s">
        <v>750</v>
      </c>
      <c r="B161" s="63" t="s">
        <v>751</v>
      </c>
      <c r="C161" s="63" t="s">
        <v>752</v>
      </c>
      <c r="D161" s="63">
        <v>80204.0</v>
      </c>
      <c r="E161" s="63" t="s">
        <v>421</v>
      </c>
      <c r="W161" s="64"/>
      <c r="AR161" s="63">
        <v>226.0</v>
      </c>
      <c r="AS161" s="63">
        <v>42.0</v>
      </c>
      <c r="AT161" s="63">
        <v>121.0</v>
      </c>
      <c r="AU161" s="63">
        <v>42.0</v>
      </c>
      <c r="AY161" s="63">
        <v>56.0</v>
      </c>
      <c r="AZ161" s="63">
        <v>336.0</v>
      </c>
      <c r="BA161" s="63">
        <v>8.0</v>
      </c>
      <c r="BE161" s="63">
        <v>41.0</v>
      </c>
      <c r="BI161" s="63">
        <v>176.0</v>
      </c>
      <c r="BJ161" s="63">
        <v>46.0</v>
      </c>
      <c r="BK161" s="63">
        <v>97.2</v>
      </c>
      <c r="BL161" s="63">
        <v>5.0</v>
      </c>
      <c r="BM161" s="64">
        <v>3.0</v>
      </c>
      <c r="BN161" s="63">
        <v>184.0</v>
      </c>
      <c r="BO161" s="63">
        <v>3.0</v>
      </c>
      <c r="BS161" s="63">
        <v>1.0</v>
      </c>
      <c r="BT161" s="63">
        <v>116.0</v>
      </c>
      <c r="BY161" s="63">
        <v>23.0</v>
      </c>
      <c r="CC161" s="63">
        <v>28.0</v>
      </c>
      <c r="CD161" s="63">
        <v>10.0</v>
      </c>
    </row>
    <row r="162" ht="15.75" customHeight="1">
      <c r="A162" s="63" t="s">
        <v>753</v>
      </c>
      <c r="B162" s="63" t="s">
        <v>754</v>
      </c>
      <c r="C162" s="63" t="s">
        <v>755</v>
      </c>
      <c r="D162" s="63">
        <v>80204.0</v>
      </c>
      <c r="E162" s="63" t="s">
        <v>421</v>
      </c>
      <c r="F162" s="63">
        <v>79.0</v>
      </c>
      <c r="G162" s="63">
        <v>25.0</v>
      </c>
      <c r="H162" s="63">
        <v>181.0</v>
      </c>
      <c r="I162" s="63">
        <v>238.0</v>
      </c>
      <c r="K162" s="63">
        <v>23.0</v>
      </c>
      <c r="L162" s="63">
        <v>102.0</v>
      </c>
      <c r="M162" s="63">
        <v>92.0</v>
      </c>
      <c r="N162" s="63">
        <v>666.0</v>
      </c>
      <c r="O162" s="63">
        <v>50.0</v>
      </c>
      <c r="P162" s="63">
        <v>2.0</v>
      </c>
      <c r="Q162" s="63">
        <v>1.0</v>
      </c>
      <c r="S162" s="63">
        <v>17.0</v>
      </c>
      <c r="W162" s="64">
        <v>52.0</v>
      </c>
      <c r="X162" s="63">
        <v>16.0</v>
      </c>
      <c r="Y162" s="63">
        <v>11.0</v>
      </c>
      <c r="AA162" s="63">
        <v>31.0</v>
      </c>
      <c r="AB162" s="63">
        <v>42.0</v>
      </c>
      <c r="AD162" s="63">
        <v>6.0</v>
      </c>
      <c r="AE162" s="63">
        <v>36.0</v>
      </c>
      <c r="AF162" s="63">
        <v>1.0</v>
      </c>
      <c r="AG162" s="63">
        <v>88.0</v>
      </c>
      <c r="AH162" s="63">
        <v>1.0</v>
      </c>
      <c r="AL162" s="63">
        <v>6.0</v>
      </c>
      <c r="AP162" s="63">
        <v>4.0</v>
      </c>
      <c r="AQ162" s="63">
        <v>5.0</v>
      </c>
      <c r="BM162" s="64"/>
    </row>
    <row r="163" ht="15.75" customHeight="1">
      <c r="A163" s="63" t="s">
        <v>756</v>
      </c>
      <c r="B163" s="63" t="s">
        <v>757</v>
      </c>
      <c r="C163" s="63" t="s">
        <v>758</v>
      </c>
      <c r="D163" s="63">
        <v>81527.0</v>
      </c>
      <c r="E163" s="63" t="s">
        <v>417</v>
      </c>
      <c r="F163" s="63">
        <v>58.0</v>
      </c>
      <c r="H163" s="63">
        <v>1371.0</v>
      </c>
      <c r="I163" s="63">
        <v>304.0</v>
      </c>
      <c r="J163" s="63">
        <v>109.0</v>
      </c>
      <c r="K163" s="63">
        <v>76.0</v>
      </c>
      <c r="N163" s="63">
        <v>151.0</v>
      </c>
      <c r="O163" s="63">
        <v>909.0</v>
      </c>
      <c r="P163" s="63">
        <v>438.0</v>
      </c>
      <c r="S163" s="63">
        <v>4.0</v>
      </c>
      <c r="T163" s="63">
        <v>2.0</v>
      </c>
      <c r="U163" s="63">
        <v>225.0</v>
      </c>
      <c r="V163" s="63">
        <v>109.0</v>
      </c>
      <c r="W163" s="64">
        <v>55.0</v>
      </c>
      <c r="AA163" s="63">
        <v>91.0</v>
      </c>
      <c r="AB163" s="63">
        <v>29.0</v>
      </c>
      <c r="AD163" s="63">
        <v>8.0</v>
      </c>
      <c r="AG163" s="63">
        <v>25.0</v>
      </c>
      <c r="AH163" s="63">
        <v>28.0</v>
      </c>
      <c r="AI163" s="63">
        <v>48.0</v>
      </c>
      <c r="AL163" s="63">
        <v>1.0</v>
      </c>
      <c r="AN163" s="63">
        <v>2.0</v>
      </c>
      <c r="AP163" s="63">
        <v>11.0</v>
      </c>
      <c r="AU163" s="63">
        <v>9.0</v>
      </c>
      <c r="AV163" s="63">
        <v>36.0</v>
      </c>
      <c r="AW163" s="63">
        <v>2.0</v>
      </c>
      <c r="AY163" s="63">
        <v>148.0</v>
      </c>
      <c r="AZ163" s="63">
        <v>8.0</v>
      </c>
      <c r="BA163" s="63">
        <v>22.0</v>
      </c>
      <c r="BB163" s="63">
        <v>27.0</v>
      </c>
      <c r="BE163" s="63">
        <v>4.0</v>
      </c>
      <c r="BG163" s="63">
        <v>96.0</v>
      </c>
      <c r="BH163" s="63">
        <v>36.0</v>
      </c>
      <c r="BI163" s="63">
        <v>2.0</v>
      </c>
      <c r="BK163" s="63">
        <v>7.3</v>
      </c>
      <c r="BL163" s="63">
        <v>3.0</v>
      </c>
      <c r="BM163" s="64"/>
      <c r="BO163" s="63">
        <v>9.0</v>
      </c>
      <c r="BP163" s="63">
        <v>7.0</v>
      </c>
      <c r="BQ163" s="63">
        <v>7.0</v>
      </c>
      <c r="BS163" s="63">
        <v>117.0</v>
      </c>
      <c r="BT163" s="63">
        <v>12.0</v>
      </c>
      <c r="BV163" s="63">
        <v>79.0</v>
      </c>
      <c r="BY163" s="63">
        <v>3.0</v>
      </c>
      <c r="CA163" s="63">
        <v>32.0</v>
      </c>
      <c r="CB163" s="63">
        <v>7.0</v>
      </c>
      <c r="CC163" s="63">
        <v>5.0</v>
      </c>
      <c r="CD163" s="63">
        <v>4.0</v>
      </c>
      <c r="CG163" s="63">
        <v>1.0</v>
      </c>
      <c r="CL163" s="63">
        <v>3.0</v>
      </c>
      <c r="CM163" s="63">
        <v>1.0</v>
      </c>
      <c r="CO163" s="63">
        <v>1.0</v>
      </c>
      <c r="CT163" s="63">
        <v>1.0</v>
      </c>
      <c r="CX163" s="63">
        <v>8.9</v>
      </c>
      <c r="CY163" s="63">
        <v>1.0</v>
      </c>
      <c r="DF163" s="63">
        <v>8.0</v>
      </c>
      <c r="DI163" s="63">
        <v>1.0</v>
      </c>
      <c r="DK163" s="63">
        <v>3.0</v>
      </c>
      <c r="DN163" s="63">
        <v>4.0</v>
      </c>
      <c r="DR163" s="63">
        <v>0.5</v>
      </c>
      <c r="DZ163" s="63">
        <v>2.0</v>
      </c>
      <c r="EA163" s="63">
        <v>1.0</v>
      </c>
      <c r="EB163" s="63">
        <v>1.0</v>
      </c>
      <c r="EL163" s="63">
        <v>3.4</v>
      </c>
      <c r="EP163" s="63">
        <v>2.0</v>
      </c>
      <c r="EU163" s="63">
        <v>2.0</v>
      </c>
      <c r="FF163" s="63">
        <v>23.8</v>
      </c>
      <c r="FO163" s="63">
        <v>7.0</v>
      </c>
      <c r="FP163" s="63">
        <v>2.0</v>
      </c>
      <c r="FQ163" s="63">
        <v>2.0</v>
      </c>
      <c r="FW163" s="63">
        <v>3.0</v>
      </c>
      <c r="GA163" s="63">
        <v>17.7</v>
      </c>
    </row>
    <row r="164" ht="15.75" customHeight="1">
      <c r="A164" s="63" t="s">
        <v>759</v>
      </c>
      <c r="B164" s="63" t="s">
        <v>760</v>
      </c>
      <c r="C164" s="63" t="s">
        <v>761</v>
      </c>
      <c r="D164" s="63">
        <v>80134.0</v>
      </c>
      <c r="E164" s="63" t="s">
        <v>235</v>
      </c>
      <c r="W164" s="64"/>
      <c r="BM164" s="64"/>
      <c r="CF164" s="63">
        <v>27.0</v>
      </c>
      <c r="CH164" s="63">
        <v>46.0</v>
      </c>
      <c r="CJ164" s="63">
        <v>122.0</v>
      </c>
      <c r="CM164" s="63">
        <v>143.0</v>
      </c>
      <c r="CR164" s="63">
        <v>7.0</v>
      </c>
      <c r="CW164" s="63">
        <v>45.0</v>
      </c>
      <c r="CX164" s="63">
        <v>80.0</v>
      </c>
    </row>
    <row r="165" ht="15.75" customHeight="1">
      <c r="A165" s="63" t="s">
        <v>762</v>
      </c>
      <c r="B165" s="63" t="s">
        <v>763</v>
      </c>
      <c r="C165" s="63" t="s">
        <v>764</v>
      </c>
      <c r="D165" s="63">
        <v>80111.0</v>
      </c>
      <c r="E165" s="63" t="s">
        <v>350</v>
      </c>
      <c r="I165" s="63">
        <v>13.0</v>
      </c>
      <c r="K165" s="63">
        <v>7.0</v>
      </c>
      <c r="N165" s="63">
        <v>12.0</v>
      </c>
      <c r="W165" s="64"/>
      <c r="X165" s="63">
        <v>8.0</v>
      </c>
      <c r="BM165" s="64"/>
    </row>
    <row r="166" ht="15.75" customHeight="1">
      <c r="A166" s="63" t="s">
        <v>765</v>
      </c>
      <c r="B166" s="63" t="s">
        <v>766</v>
      </c>
      <c r="C166" s="63" t="s">
        <v>767</v>
      </c>
      <c r="D166" s="63">
        <v>80121.0</v>
      </c>
      <c r="E166" s="63" t="s">
        <v>350</v>
      </c>
      <c r="G166" s="63">
        <v>12.0</v>
      </c>
      <c r="H166" s="63">
        <v>2.0</v>
      </c>
      <c r="I166" s="63">
        <v>10.0</v>
      </c>
      <c r="K166" s="63">
        <v>5.0</v>
      </c>
      <c r="L166" s="63">
        <v>19.0</v>
      </c>
      <c r="N166" s="63">
        <v>35.0</v>
      </c>
      <c r="W166" s="64"/>
      <c r="X166" s="63">
        <v>12.0</v>
      </c>
      <c r="BM166" s="64"/>
    </row>
    <row r="167" ht="15.75" customHeight="1">
      <c r="A167" s="63" t="s">
        <v>768</v>
      </c>
      <c r="B167" s="63" t="s">
        <v>769</v>
      </c>
      <c r="C167" s="63" t="s">
        <v>770</v>
      </c>
      <c r="D167" s="63">
        <v>80038.0</v>
      </c>
      <c r="E167" s="63" t="s">
        <v>444</v>
      </c>
      <c r="G167" s="63">
        <v>10.0</v>
      </c>
      <c r="L167" s="63">
        <v>229.0</v>
      </c>
      <c r="M167" s="63">
        <v>1.0</v>
      </c>
      <c r="N167" s="63">
        <v>208.0</v>
      </c>
      <c r="S167" s="63">
        <v>1.0</v>
      </c>
      <c r="T167" s="63">
        <v>1.0</v>
      </c>
      <c r="W167" s="64"/>
      <c r="X167" s="63">
        <v>29.0</v>
      </c>
      <c r="Z167" s="63">
        <v>2.0</v>
      </c>
      <c r="AE167" s="63">
        <v>99.0</v>
      </c>
      <c r="AG167" s="63">
        <v>91.0</v>
      </c>
      <c r="AL167" s="63">
        <v>5.0</v>
      </c>
      <c r="AQ167" s="63">
        <v>5.0</v>
      </c>
      <c r="BM167" s="64"/>
    </row>
    <row r="168" ht="15.75" customHeight="1">
      <c r="A168" s="63" t="s">
        <v>771</v>
      </c>
      <c r="B168" s="63" t="s">
        <v>772</v>
      </c>
      <c r="C168" s="63" t="s">
        <v>773</v>
      </c>
      <c r="D168" s="63">
        <v>80022.0</v>
      </c>
      <c r="E168" s="63" t="s">
        <v>250</v>
      </c>
      <c r="F168" s="63">
        <v>27.0</v>
      </c>
      <c r="G168" s="63">
        <v>24.0</v>
      </c>
      <c r="H168" s="63">
        <v>1.0</v>
      </c>
      <c r="I168" s="63">
        <v>68.0</v>
      </c>
      <c r="K168" s="63">
        <v>34.0</v>
      </c>
      <c r="L168" s="63">
        <v>28.0</v>
      </c>
      <c r="M168" s="63">
        <v>3.0</v>
      </c>
      <c r="N168" s="63">
        <v>107.0</v>
      </c>
      <c r="S168" s="63">
        <v>1.0</v>
      </c>
      <c r="U168" s="63">
        <v>4.0</v>
      </c>
      <c r="W168" s="64">
        <v>24.0</v>
      </c>
      <c r="X168" s="63">
        <v>20.0</v>
      </c>
      <c r="Y168" s="63">
        <v>2.0</v>
      </c>
      <c r="Z168" s="63">
        <v>2.0</v>
      </c>
      <c r="AB168" s="63">
        <v>12.0</v>
      </c>
      <c r="AG168" s="63">
        <v>5.0</v>
      </c>
      <c r="AP168" s="63">
        <v>7.0</v>
      </c>
      <c r="AQ168" s="63">
        <v>7.0</v>
      </c>
      <c r="BM168" s="64"/>
    </row>
    <row r="169" ht="15.75" customHeight="1">
      <c r="A169" s="63" t="s">
        <v>774</v>
      </c>
      <c r="B169" s="63" t="s">
        <v>775</v>
      </c>
      <c r="C169" s="63" t="s">
        <v>776</v>
      </c>
      <c r="D169" s="63">
        <v>80226.0</v>
      </c>
      <c r="E169" s="63" t="s">
        <v>239</v>
      </c>
      <c r="G169" s="63">
        <v>3.0</v>
      </c>
      <c r="N169" s="63">
        <v>3.0</v>
      </c>
      <c r="W169" s="64"/>
      <c r="AS169" s="63">
        <v>1.0</v>
      </c>
      <c r="AZ169" s="63">
        <v>1.0</v>
      </c>
      <c r="BK169" s="63">
        <v>90.0</v>
      </c>
      <c r="BM169" s="64"/>
    </row>
    <row r="170" ht="15.75" customHeight="1">
      <c r="A170" s="63" t="s">
        <v>777</v>
      </c>
      <c r="B170" s="63" t="s">
        <v>778</v>
      </c>
      <c r="C170" s="63" t="s">
        <v>779</v>
      </c>
      <c r="D170" s="63">
        <v>80232.0</v>
      </c>
      <c r="E170" s="63" t="s">
        <v>239</v>
      </c>
      <c r="F170" s="63">
        <v>4.0</v>
      </c>
      <c r="G170" s="63">
        <v>3.0</v>
      </c>
      <c r="I170" s="63">
        <v>10.0</v>
      </c>
      <c r="L170" s="63">
        <v>3.0</v>
      </c>
      <c r="N170" s="63">
        <v>10.0</v>
      </c>
      <c r="W170" s="64">
        <v>3.0</v>
      </c>
      <c r="X170" s="63">
        <v>3.0</v>
      </c>
      <c r="BM170" s="64"/>
    </row>
    <row r="171" ht="15.75" customHeight="1">
      <c r="A171" s="63" t="s">
        <v>780</v>
      </c>
      <c r="B171" s="63" t="s">
        <v>781</v>
      </c>
      <c r="C171" s="63" t="s">
        <v>782</v>
      </c>
      <c r="D171" s="63">
        <v>80446.0</v>
      </c>
      <c r="E171" s="63" t="s">
        <v>612</v>
      </c>
      <c r="G171" s="63">
        <v>27.0</v>
      </c>
      <c r="I171" s="63">
        <v>1.0</v>
      </c>
      <c r="K171" s="63">
        <v>14.0</v>
      </c>
      <c r="L171" s="63">
        <v>133.0</v>
      </c>
      <c r="M171" s="63">
        <v>11.0</v>
      </c>
      <c r="N171" s="63">
        <v>145.0</v>
      </c>
      <c r="P171" s="63">
        <v>3.0</v>
      </c>
      <c r="S171" s="63">
        <v>2.0</v>
      </c>
      <c r="W171" s="64"/>
      <c r="X171" s="63">
        <v>9.0</v>
      </c>
      <c r="Z171" s="63">
        <v>7.0</v>
      </c>
      <c r="AE171" s="63">
        <v>120.0</v>
      </c>
      <c r="AG171" s="63">
        <v>120.0</v>
      </c>
      <c r="BM171" s="64"/>
    </row>
    <row r="172" ht="15.75" customHeight="1">
      <c r="A172" s="63" t="s">
        <v>783</v>
      </c>
      <c r="B172" s="63" t="s">
        <v>784</v>
      </c>
      <c r="C172" s="63" t="s">
        <v>785</v>
      </c>
      <c r="D172" s="63">
        <v>80011.0</v>
      </c>
      <c r="E172" s="63" t="s">
        <v>350</v>
      </c>
      <c r="F172" s="63">
        <v>8.0</v>
      </c>
      <c r="G172" s="63">
        <v>8.0</v>
      </c>
      <c r="H172" s="63">
        <v>1.0</v>
      </c>
      <c r="I172" s="63">
        <v>4.0</v>
      </c>
      <c r="K172" s="63">
        <v>2.0</v>
      </c>
      <c r="L172" s="63">
        <v>65.0</v>
      </c>
      <c r="P172" s="63">
        <v>1.0</v>
      </c>
      <c r="W172" s="64">
        <v>7.0</v>
      </c>
      <c r="X172" s="63">
        <v>7.0</v>
      </c>
      <c r="AE172" s="63">
        <v>26.0</v>
      </c>
      <c r="AG172" s="63">
        <v>26.0</v>
      </c>
      <c r="BM172" s="64"/>
    </row>
    <row r="173" ht="15.75" customHeight="1">
      <c r="A173" s="63" t="s">
        <v>786</v>
      </c>
      <c r="B173" s="63" t="s">
        <v>787</v>
      </c>
      <c r="C173" s="63" t="s">
        <v>788</v>
      </c>
      <c r="D173" s="63">
        <v>80612.0</v>
      </c>
      <c r="E173" s="63" t="s">
        <v>258</v>
      </c>
      <c r="G173" s="63">
        <v>17.0</v>
      </c>
      <c r="I173" s="63">
        <v>6.0</v>
      </c>
      <c r="K173" s="63">
        <v>1.0</v>
      </c>
      <c r="L173" s="63">
        <v>80.0</v>
      </c>
      <c r="N173" s="63">
        <v>96.0</v>
      </c>
      <c r="S173" s="63">
        <v>2.0</v>
      </c>
      <c r="W173" s="64"/>
      <c r="X173" s="63">
        <v>6.0</v>
      </c>
      <c r="Z173" s="63">
        <v>9.0</v>
      </c>
      <c r="AB173" s="63">
        <v>1.0</v>
      </c>
      <c r="AD173" s="63">
        <v>4.0</v>
      </c>
      <c r="AE173" s="63">
        <v>55.0</v>
      </c>
      <c r="AG173" s="63">
        <v>63.0</v>
      </c>
      <c r="AL173" s="63">
        <v>1.0</v>
      </c>
      <c r="AQ173" s="63">
        <v>5.0</v>
      </c>
      <c r="BM173" s="64"/>
    </row>
    <row r="174" ht="15.75" customHeight="1">
      <c r="A174" s="63" t="s">
        <v>789</v>
      </c>
      <c r="B174" s="63" t="s">
        <v>790</v>
      </c>
      <c r="C174" s="63" t="s">
        <v>791</v>
      </c>
      <c r="D174" s="63">
        <v>80831.0</v>
      </c>
      <c r="E174" s="63" t="s">
        <v>243</v>
      </c>
      <c r="F174" s="63">
        <v>123.0</v>
      </c>
      <c r="G174" s="63">
        <v>49.0</v>
      </c>
      <c r="H174" s="63">
        <v>3.0</v>
      </c>
      <c r="I174" s="63">
        <v>12.0</v>
      </c>
      <c r="K174" s="63">
        <v>45.0</v>
      </c>
      <c r="L174" s="63">
        <v>750.0</v>
      </c>
      <c r="M174" s="63">
        <v>44.0</v>
      </c>
      <c r="N174" s="63">
        <v>603.0</v>
      </c>
      <c r="P174" s="63">
        <v>140.0</v>
      </c>
      <c r="Q174" s="63">
        <v>76.0</v>
      </c>
      <c r="S174" s="63">
        <v>11.0</v>
      </c>
      <c r="W174" s="64">
        <v>163.0</v>
      </c>
      <c r="X174" s="63">
        <v>52.0</v>
      </c>
      <c r="AA174" s="63">
        <v>2.0</v>
      </c>
      <c r="AB174" s="63">
        <v>1.0</v>
      </c>
      <c r="AD174" s="63">
        <v>7.0</v>
      </c>
      <c r="AE174" s="63">
        <v>29.0</v>
      </c>
      <c r="AF174" s="63">
        <v>12.0</v>
      </c>
      <c r="AG174" s="63">
        <v>20.0</v>
      </c>
      <c r="AI174" s="63">
        <v>17.0</v>
      </c>
      <c r="AJ174" s="63">
        <v>7.0</v>
      </c>
      <c r="AL174" s="63">
        <v>1.0</v>
      </c>
      <c r="BM174" s="64"/>
    </row>
    <row r="175" ht="15.75" customHeight="1">
      <c r="A175" s="63" t="s">
        <v>792</v>
      </c>
      <c r="B175" s="63" t="s">
        <v>793</v>
      </c>
      <c r="C175" s="63" t="s">
        <v>794</v>
      </c>
      <c r="D175" s="63" t="s">
        <v>520</v>
      </c>
      <c r="E175" s="63" t="s">
        <v>313</v>
      </c>
      <c r="G175" s="63">
        <v>13.0</v>
      </c>
      <c r="H175" s="63">
        <v>4.0</v>
      </c>
      <c r="I175" s="63">
        <v>8.0</v>
      </c>
      <c r="K175" s="63">
        <v>72.0</v>
      </c>
      <c r="L175" s="63">
        <v>141.0</v>
      </c>
      <c r="N175" s="63">
        <v>223.0</v>
      </c>
      <c r="U175" s="63">
        <v>2.0</v>
      </c>
      <c r="W175" s="64"/>
      <c r="X175" s="63">
        <v>13.0</v>
      </c>
      <c r="AB175" s="63">
        <v>2.0</v>
      </c>
      <c r="AD175" s="63">
        <v>5.0</v>
      </c>
      <c r="AE175" s="63">
        <v>25.0</v>
      </c>
      <c r="AG175" s="63">
        <v>23.0</v>
      </c>
      <c r="AQ175" s="63">
        <v>9.0</v>
      </c>
      <c r="BM175" s="64"/>
    </row>
    <row r="176" ht="15.75" customHeight="1">
      <c r="A176" s="63" t="s">
        <v>795</v>
      </c>
      <c r="B176" s="63" t="s">
        <v>796</v>
      </c>
      <c r="C176" s="63" t="s">
        <v>797</v>
      </c>
      <c r="D176" s="63">
        <v>81082.0</v>
      </c>
      <c r="E176" s="63" t="s">
        <v>333</v>
      </c>
      <c r="F176" s="63">
        <v>29.0</v>
      </c>
      <c r="H176" s="63">
        <v>361.0</v>
      </c>
      <c r="I176" s="63">
        <v>160.0</v>
      </c>
      <c r="K176" s="63">
        <v>14.0</v>
      </c>
      <c r="L176" s="63">
        <v>345.0</v>
      </c>
      <c r="M176" s="63">
        <v>49.0</v>
      </c>
      <c r="N176" s="63">
        <v>254.0</v>
      </c>
      <c r="O176" s="63">
        <v>227.0</v>
      </c>
      <c r="P176" s="63">
        <v>391.0</v>
      </c>
      <c r="Q176" s="63">
        <v>10.0</v>
      </c>
      <c r="S176" s="63">
        <v>2.0</v>
      </c>
      <c r="T176" s="63">
        <v>1.0</v>
      </c>
      <c r="U176" s="63">
        <v>61.0</v>
      </c>
      <c r="W176" s="64">
        <v>11.0</v>
      </c>
      <c r="X176" s="63">
        <v>1.0</v>
      </c>
      <c r="AA176" s="63">
        <v>42.0</v>
      </c>
      <c r="AB176" s="63">
        <v>125.0</v>
      </c>
      <c r="AE176" s="63">
        <v>233.0</v>
      </c>
      <c r="AF176" s="63">
        <v>4.0</v>
      </c>
      <c r="AG176" s="63">
        <v>199.0</v>
      </c>
      <c r="AH176" s="63">
        <v>5.0</v>
      </c>
      <c r="AI176" s="63">
        <v>188.0</v>
      </c>
      <c r="AJ176" s="63">
        <v>1.0</v>
      </c>
      <c r="AL176" s="63">
        <v>1.0</v>
      </c>
      <c r="AN176" s="63">
        <v>5.0</v>
      </c>
      <c r="AP176" s="63">
        <v>5.0</v>
      </c>
      <c r="AR176" s="63">
        <v>18.0</v>
      </c>
      <c r="AT176" s="63">
        <v>174.0</v>
      </c>
      <c r="AU176" s="63">
        <v>121.0</v>
      </c>
      <c r="AX176" s="63">
        <v>4.0</v>
      </c>
      <c r="AY176" s="63">
        <v>19.0</v>
      </c>
      <c r="AZ176" s="63">
        <v>248.0</v>
      </c>
      <c r="BA176" s="63">
        <v>9.0</v>
      </c>
      <c r="BB176" s="63">
        <v>54.0</v>
      </c>
      <c r="BE176" s="63">
        <v>3.0</v>
      </c>
      <c r="BF176" s="63">
        <v>2.0</v>
      </c>
      <c r="BG176" s="63">
        <v>7.0</v>
      </c>
      <c r="BI176" s="63">
        <v>13.0</v>
      </c>
      <c r="BK176" s="63">
        <v>20.0</v>
      </c>
      <c r="BM176" s="64"/>
      <c r="BN176" s="63">
        <v>124.0</v>
      </c>
      <c r="BO176" s="63">
        <v>176.0</v>
      </c>
      <c r="BR176" s="63">
        <v>1.0</v>
      </c>
      <c r="BS176" s="63">
        <v>2.0</v>
      </c>
      <c r="BT176" s="63">
        <v>157.0</v>
      </c>
      <c r="BU176" s="63">
        <v>2.0</v>
      </c>
      <c r="BV176" s="63">
        <v>97.0</v>
      </c>
      <c r="BY176" s="63">
        <v>35.0</v>
      </c>
      <c r="CA176" s="63">
        <v>10.0</v>
      </c>
      <c r="CC176" s="63">
        <v>2.0</v>
      </c>
      <c r="CG176" s="63">
        <v>1.0</v>
      </c>
      <c r="CH176" s="63">
        <v>4.0</v>
      </c>
      <c r="CM176" s="63">
        <v>4.0</v>
      </c>
      <c r="CR176" s="63">
        <v>1.0</v>
      </c>
      <c r="CX176" s="63">
        <v>3.0</v>
      </c>
      <c r="DB176" s="63">
        <v>1.0</v>
      </c>
      <c r="DG176" s="63">
        <v>1.0</v>
      </c>
      <c r="DR176" s="63">
        <v>1.0</v>
      </c>
    </row>
    <row r="177" ht="15.75" customHeight="1">
      <c r="A177" s="63" t="s">
        <v>798</v>
      </c>
      <c r="B177" s="63" t="s">
        <v>799</v>
      </c>
      <c r="C177" s="63" t="s">
        <v>800</v>
      </c>
      <c r="D177" s="63">
        <v>80132.0</v>
      </c>
      <c r="E177" s="63" t="s">
        <v>243</v>
      </c>
      <c r="F177" s="63">
        <v>7.0</v>
      </c>
      <c r="G177" s="63">
        <v>7.0</v>
      </c>
      <c r="H177" s="63">
        <v>2.0</v>
      </c>
      <c r="I177" s="63">
        <v>17.0</v>
      </c>
      <c r="K177" s="63">
        <v>6.0</v>
      </c>
      <c r="L177" s="63">
        <v>6.0</v>
      </c>
      <c r="N177" s="63">
        <v>33.0</v>
      </c>
      <c r="S177" s="63">
        <v>1.0</v>
      </c>
      <c r="W177" s="64">
        <v>4.0</v>
      </c>
      <c r="X177" s="63">
        <v>4.0</v>
      </c>
      <c r="BM177" s="64"/>
    </row>
    <row r="178" ht="15.75" customHeight="1">
      <c r="A178" s="63" t="s">
        <v>801</v>
      </c>
      <c r="B178" s="63" t="s">
        <v>802</v>
      </c>
      <c r="C178" s="63" t="s">
        <v>803</v>
      </c>
      <c r="D178" s="63">
        <v>81224.0</v>
      </c>
      <c r="E178" s="63" t="s">
        <v>384</v>
      </c>
      <c r="F178" s="63">
        <v>7.0</v>
      </c>
      <c r="I178" s="63">
        <v>4.0</v>
      </c>
      <c r="K178" s="63">
        <v>1.0</v>
      </c>
      <c r="L178" s="63">
        <v>3.0</v>
      </c>
      <c r="M178" s="63">
        <v>1.0</v>
      </c>
      <c r="N178" s="63">
        <v>5.0</v>
      </c>
      <c r="S178" s="63">
        <v>1.0</v>
      </c>
      <c r="W178" s="64">
        <v>7.0</v>
      </c>
      <c r="AR178" s="63">
        <v>3.0</v>
      </c>
      <c r="AU178" s="63">
        <v>1.0</v>
      </c>
      <c r="AW178" s="63">
        <v>1.0</v>
      </c>
      <c r="AZ178" s="63">
        <v>2.0</v>
      </c>
      <c r="BE178" s="63">
        <v>1.0</v>
      </c>
      <c r="BI178" s="63">
        <v>1.0</v>
      </c>
      <c r="BK178" s="63">
        <v>303.0</v>
      </c>
      <c r="BM178" s="64"/>
    </row>
    <row r="179" ht="15.75" customHeight="1">
      <c r="A179" s="63" t="s">
        <v>804</v>
      </c>
      <c r="B179" s="63" t="s">
        <v>805</v>
      </c>
      <c r="C179" s="63" t="s">
        <v>806</v>
      </c>
      <c r="D179" s="63">
        <v>80127.0</v>
      </c>
      <c r="E179" s="63" t="s">
        <v>239</v>
      </c>
      <c r="G179" s="63">
        <v>41.0</v>
      </c>
      <c r="H179" s="63">
        <v>2.0</v>
      </c>
      <c r="I179" s="63">
        <v>15.0</v>
      </c>
      <c r="K179" s="63">
        <v>7.0</v>
      </c>
      <c r="L179" s="63">
        <v>231.0</v>
      </c>
      <c r="M179" s="63">
        <v>12.0</v>
      </c>
      <c r="N179" s="63">
        <v>266.0</v>
      </c>
      <c r="O179" s="63">
        <v>1.0</v>
      </c>
      <c r="U179" s="63">
        <v>3.0</v>
      </c>
      <c r="W179" s="64"/>
      <c r="X179" s="63">
        <v>38.0</v>
      </c>
      <c r="AE179" s="63">
        <v>54.0</v>
      </c>
      <c r="AF179" s="63">
        <v>2.0</v>
      </c>
      <c r="AG179" s="63">
        <v>55.0</v>
      </c>
      <c r="AQ179" s="63">
        <v>1.0</v>
      </c>
      <c r="AS179" s="63">
        <v>3.0</v>
      </c>
      <c r="AW179" s="63">
        <v>1.0</v>
      </c>
      <c r="AY179" s="63">
        <v>5.0</v>
      </c>
      <c r="AZ179" s="63">
        <v>7.0</v>
      </c>
      <c r="BJ179" s="63">
        <v>2.0</v>
      </c>
      <c r="BK179" s="63">
        <v>61.0</v>
      </c>
      <c r="BM179" s="64"/>
      <c r="BQ179" s="63">
        <v>30.0</v>
      </c>
      <c r="BR179" s="63">
        <v>5.0</v>
      </c>
      <c r="BT179" s="63">
        <v>33.0</v>
      </c>
      <c r="CD179" s="63">
        <v>2.0</v>
      </c>
    </row>
    <row r="180" ht="15.75" customHeight="1">
      <c r="A180" s="63" t="s">
        <v>807</v>
      </c>
      <c r="B180" s="63" t="s">
        <v>808</v>
      </c>
      <c r="C180" s="63" t="s">
        <v>809</v>
      </c>
      <c r="D180" s="63">
        <v>81223.0</v>
      </c>
      <c r="E180" s="63" t="s">
        <v>298</v>
      </c>
      <c r="F180" s="63">
        <v>29.0</v>
      </c>
      <c r="H180" s="63">
        <v>2.0</v>
      </c>
      <c r="I180" s="63">
        <v>21.0</v>
      </c>
      <c r="K180" s="63">
        <v>5.0</v>
      </c>
      <c r="L180" s="63">
        <v>47.0</v>
      </c>
      <c r="N180" s="63">
        <v>35.0</v>
      </c>
      <c r="P180" s="63">
        <v>24.0</v>
      </c>
      <c r="U180" s="63">
        <v>1.0</v>
      </c>
      <c r="W180" s="64">
        <v>44.0</v>
      </c>
      <c r="Y180" s="63">
        <v>13.0</v>
      </c>
      <c r="AA180" s="63">
        <v>4.0</v>
      </c>
      <c r="AB180" s="63">
        <v>10.0</v>
      </c>
      <c r="AD180" s="63">
        <v>12.0</v>
      </c>
      <c r="AE180" s="63">
        <v>99.0</v>
      </c>
      <c r="AF180" s="63">
        <v>47.0</v>
      </c>
      <c r="AG180" s="63">
        <v>102.0</v>
      </c>
      <c r="AI180" s="63">
        <v>24.0</v>
      </c>
      <c r="AJ180" s="63">
        <v>1.0</v>
      </c>
      <c r="AL180" s="63">
        <v>16.0</v>
      </c>
      <c r="AN180" s="63">
        <v>4.0</v>
      </c>
      <c r="AP180" s="63">
        <v>38.0</v>
      </c>
      <c r="BM180" s="64"/>
    </row>
    <row r="181" ht="15.75" customHeight="1">
      <c r="A181" s="63" t="s">
        <v>810</v>
      </c>
      <c r="B181" s="63" t="s">
        <v>811</v>
      </c>
      <c r="C181" s="63" t="s">
        <v>812</v>
      </c>
      <c r="D181" s="63">
        <v>80935.0</v>
      </c>
      <c r="E181" s="63" t="s">
        <v>243</v>
      </c>
      <c r="F181" s="63">
        <v>6.0</v>
      </c>
      <c r="G181" s="63">
        <v>2.0</v>
      </c>
      <c r="K181" s="63">
        <v>21.0</v>
      </c>
      <c r="L181" s="63">
        <v>2.0</v>
      </c>
      <c r="N181" s="63">
        <v>25.0</v>
      </c>
      <c r="W181" s="64">
        <v>5.0</v>
      </c>
      <c r="X181" s="63">
        <v>2.0</v>
      </c>
      <c r="AD181" s="63">
        <v>5.0</v>
      </c>
      <c r="AE181" s="63">
        <v>8.0</v>
      </c>
      <c r="AG181" s="63">
        <v>12.0</v>
      </c>
      <c r="AQ181" s="63">
        <v>1.0</v>
      </c>
      <c r="BM181" s="64"/>
    </row>
    <row r="182" ht="15.75" customHeight="1">
      <c r="A182" s="63" t="s">
        <v>813</v>
      </c>
      <c r="B182" s="63" t="s">
        <v>814</v>
      </c>
      <c r="C182" s="63" t="s">
        <v>815</v>
      </c>
      <c r="D182" s="63">
        <v>81224.0</v>
      </c>
      <c r="E182" s="63" t="s">
        <v>384</v>
      </c>
      <c r="G182" s="63">
        <v>1.0</v>
      </c>
      <c r="H182" s="63">
        <v>38.0</v>
      </c>
      <c r="I182" s="63">
        <v>1.0</v>
      </c>
      <c r="L182" s="63">
        <v>4.0</v>
      </c>
      <c r="N182" s="63">
        <v>5.0</v>
      </c>
      <c r="O182" s="63">
        <v>38.0</v>
      </c>
      <c r="R182" s="63">
        <v>1.0</v>
      </c>
      <c r="W182" s="64">
        <v>43.0</v>
      </c>
      <c r="X182" s="63">
        <v>1.0</v>
      </c>
      <c r="AT182" s="63">
        <v>8.0</v>
      </c>
      <c r="AU182" s="63">
        <v>1.0</v>
      </c>
      <c r="AX182" s="63">
        <v>1.0</v>
      </c>
      <c r="AZ182" s="63">
        <v>6.0</v>
      </c>
      <c r="BA182" s="63">
        <v>4.0</v>
      </c>
      <c r="BI182" s="63">
        <v>8.0</v>
      </c>
      <c r="BK182" s="63">
        <v>35.0</v>
      </c>
      <c r="BM182" s="64"/>
      <c r="BN182" s="63">
        <v>6.0</v>
      </c>
      <c r="BR182" s="63">
        <v>2.0</v>
      </c>
      <c r="BT182" s="63">
        <v>7.0</v>
      </c>
      <c r="BY182" s="63">
        <v>1.0</v>
      </c>
      <c r="CC182" s="63">
        <v>7.0</v>
      </c>
      <c r="EU182" s="63">
        <v>1.0</v>
      </c>
      <c r="FD182" s="63">
        <v>1.0</v>
      </c>
    </row>
    <row r="183" ht="15.75" customHeight="1">
      <c r="A183" s="63" t="s">
        <v>816</v>
      </c>
      <c r="B183" s="63" t="s">
        <v>817</v>
      </c>
      <c r="C183" s="63" t="s">
        <v>818</v>
      </c>
      <c r="D183" s="63">
        <v>80206.0</v>
      </c>
      <c r="E183" s="63" t="s">
        <v>421</v>
      </c>
      <c r="F183" s="63">
        <v>3.0</v>
      </c>
      <c r="G183" s="63">
        <v>1.0</v>
      </c>
      <c r="K183" s="63">
        <v>1.0</v>
      </c>
      <c r="L183" s="63">
        <v>43.0</v>
      </c>
      <c r="N183" s="63">
        <v>44.0</v>
      </c>
      <c r="W183" s="64">
        <v>4.0</v>
      </c>
      <c r="X183" s="63">
        <v>1.0</v>
      </c>
      <c r="BM183" s="64"/>
    </row>
    <row r="184" ht="15.75" customHeight="1">
      <c r="A184" s="63" t="s">
        <v>819</v>
      </c>
      <c r="B184" s="63" t="s">
        <v>820</v>
      </c>
      <c r="C184" s="63" t="s">
        <v>821</v>
      </c>
      <c r="D184" s="63">
        <v>81003.0</v>
      </c>
      <c r="E184" s="63" t="s">
        <v>822</v>
      </c>
      <c r="F184" s="63">
        <v>28.0</v>
      </c>
      <c r="G184" s="63">
        <v>1.0</v>
      </c>
      <c r="H184" s="63">
        <v>205.0</v>
      </c>
      <c r="I184" s="63">
        <v>333.0</v>
      </c>
      <c r="K184" s="63">
        <v>9.0</v>
      </c>
      <c r="L184" s="63">
        <v>12.0</v>
      </c>
      <c r="N184" s="63">
        <v>460.0</v>
      </c>
      <c r="O184" s="63">
        <v>70.0</v>
      </c>
      <c r="P184" s="63">
        <v>8.0</v>
      </c>
      <c r="S184" s="63">
        <v>1.0</v>
      </c>
      <c r="T184" s="63">
        <v>1.0</v>
      </c>
      <c r="W184" s="64">
        <v>45.0</v>
      </c>
      <c r="X184" s="63">
        <v>2.0</v>
      </c>
      <c r="Y184" s="63">
        <v>6.0</v>
      </c>
      <c r="AA184" s="63">
        <v>8.0</v>
      </c>
      <c r="AB184" s="63">
        <v>35.0</v>
      </c>
      <c r="AG184" s="63">
        <v>49.0</v>
      </c>
      <c r="AR184" s="63">
        <v>35.0</v>
      </c>
      <c r="AT184" s="63">
        <v>2.0</v>
      </c>
      <c r="AU184" s="63">
        <v>100.0</v>
      </c>
      <c r="AZ184" s="63">
        <v>95.0</v>
      </c>
      <c r="BA184" s="63">
        <v>2.0</v>
      </c>
      <c r="BB184" s="63">
        <v>6.0</v>
      </c>
      <c r="BE184" s="63">
        <v>1.0</v>
      </c>
      <c r="BF184" s="63">
        <v>1.0</v>
      </c>
      <c r="BG184" s="63">
        <v>2.0</v>
      </c>
      <c r="BI184" s="63">
        <v>30.0</v>
      </c>
      <c r="BK184" s="63">
        <v>100.75</v>
      </c>
      <c r="BL184" s="63">
        <v>1.0</v>
      </c>
      <c r="BM184" s="64"/>
      <c r="BN184" s="63">
        <v>5.0</v>
      </c>
      <c r="BO184" s="63">
        <v>32.0</v>
      </c>
      <c r="BT184" s="63">
        <v>32.0</v>
      </c>
      <c r="BY184" s="63">
        <v>6.0</v>
      </c>
    </row>
    <row r="185" ht="15.75" customHeight="1">
      <c r="A185" s="63" t="s">
        <v>823</v>
      </c>
      <c r="B185" s="63" t="s">
        <v>824</v>
      </c>
      <c r="C185" s="63" t="s">
        <v>825</v>
      </c>
      <c r="D185" s="63">
        <v>80206.0</v>
      </c>
      <c r="E185" s="63" t="s">
        <v>421</v>
      </c>
      <c r="F185" s="63">
        <v>33.0</v>
      </c>
      <c r="G185" s="63">
        <v>33.0</v>
      </c>
      <c r="H185" s="63">
        <v>1.0</v>
      </c>
      <c r="I185" s="63">
        <v>11.0</v>
      </c>
      <c r="K185" s="63">
        <v>178.0</v>
      </c>
      <c r="L185" s="63">
        <v>58.0</v>
      </c>
      <c r="N185" s="63">
        <v>211.0</v>
      </c>
      <c r="O185" s="63">
        <v>1.0</v>
      </c>
      <c r="P185" s="63">
        <v>3.0</v>
      </c>
      <c r="S185" s="63">
        <v>1.0</v>
      </c>
      <c r="U185" s="63">
        <v>2.0</v>
      </c>
      <c r="W185" s="64">
        <v>18.0</v>
      </c>
      <c r="X185" s="63">
        <v>18.0</v>
      </c>
      <c r="Y185" s="63">
        <v>6.0</v>
      </c>
      <c r="Z185" s="63">
        <v>6.0</v>
      </c>
      <c r="AD185" s="63">
        <v>41.0</v>
      </c>
      <c r="AE185" s="63">
        <v>15.0</v>
      </c>
      <c r="AG185" s="63">
        <v>54.0</v>
      </c>
      <c r="AP185" s="63">
        <v>2.0</v>
      </c>
      <c r="AQ185" s="63">
        <v>2.0</v>
      </c>
      <c r="AR185" s="63">
        <v>14.0</v>
      </c>
      <c r="AS185" s="63">
        <v>14.0</v>
      </c>
      <c r="AU185" s="63">
        <v>3.0</v>
      </c>
      <c r="AW185" s="63">
        <v>34.0</v>
      </c>
      <c r="AX185" s="63">
        <v>3.0</v>
      </c>
      <c r="AY185" s="63">
        <v>10.0</v>
      </c>
      <c r="AZ185" s="63">
        <v>40.0</v>
      </c>
      <c r="BA185" s="63">
        <v>1.0</v>
      </c>
      <c r="BI185" s="63">
        <v>11.0</v>
      </c>
      <c r="BJ185" s="63">
        <v>11.0</v>
      </c>
      <c r="BK185" s="63">
        <v>48.0</v>
      </c>
      <c r="BL185" s="63">
        <v>2.0</v>
      </c>
      <c r="BM185" s="64">
        <v>2.0</v>
      </c>
      <c r="BQ185" s="63">
        <v>35.0</v>
      </c>
      <c r="BS185" s="63">
        <v>6.0</v>
      </c>
      <c r="BT185" s="63">
        <v>32.0</v>
      </c>
      <c r="BU185" s="63">
        <v>1.0</v>
      </c>
      <c r="BX185" s="63">
        <v>3.0</v>
      </c>
      <c r="CA185" s="63">
        <v>3.0</v>
      </c>
      <c r="CC185" s="63">
        <v>9.0</v>
      </c>
      <c r="CD185" s="63">
        <v>9.0</v>
      </c>
    </row>
    <row r="186" ht="15.75" customHeight="1">
      <c r="A186" s="63" t="s">
        <v>826</v>
      </c>
      <c r="B186" s="63" t="s">
        <v>827</v>
      </c>
      <c r="C186" s="63" t="s">
        <v>828</v>
      </c>
      <c r="D186" s="63">
        <v>81039.0</v>
      </c>
      <c r="E186" s="63" t="s">
        <v>388</v>
      </c>
      <c r="H186" s="63">
        <v>6.0</v>
      </c>
      <c r="I186" s="63">
        <v>1.0</v>
      </c>
      <c r="N186" s="63">
        <v>1.0</v>
      </c>
      <c r="O186" s="63">
        <v>2.0</v>
      </c>
      <c r="P186" s="63">
        <v>4.0</v>
      </c>
      <c r="W186" s="64"/>
      <c r="AU186" s="63">
        <v>1.0</v>
      </c>
      <c r="AZ186" s="63">
        <v>1.0</v>
      </c>
      <c r="BK186" s="63">
        <v>5.0</v>
      </c>
      <c r="BM186" s="64"/>
      <c r="BN186" s="63">
        <v>1.0</v>
      </c>
      <c r="BO186" s="63">
        <v>1.0</v>
      </c>
      <c r="BT186" s="63">
        <v>2.0</v>
      </c>
      <c r="CX186" s="63">
        <v>5.0</v>
      </c>
      <c r="DR186" s="63">
        <v>5.0</v>
      </c>
      <c r="EL186" s="63">
        <v>5.0</v>
      </c>
      <c r="FF186" s="63">
        <v>5.0</v>
      </c>
      <c r="GA186" s="63">
        <v>5.0</v>
      </c>
    </row>
    <row r="187" ht="15.75" customHeight="1">
      <c r="A187" s="63" t="s">
        <v>829</v>
      </c>
      <c r="B187" s="63" t="s">
        <v>830</v>
      </c>
      <c r="C187" s="63" t="s">
        <v>831</v>
      </c>
      <c r="D187" s="63">
        <v>80864.0</v>
      </c>
      <c r="E187" s="63" t="s">
        <v>243</v>
      </c>
      <c r="F187" s="63">
        <v>17.0</v>
      </c>
      <c r="K187" s="63">
        <v>2.0</v>
      </c>
      <c r="L187" s="63">
        <v>3.0</v>
      </c>
      <c r="N187" s="63">
        <v>4.0</v>
      </c>
      <c r="U187" s="63">
        <v>1.0</v>
      </c>
      <c r="W187" s="64">
        <v>17.0</v>
      </c>
      <c r="BM187" s="64"/>
    </row>
    <row r="188" ht="15.75" customHeight="1">
      <c r="A188" s="63" t="s">
        <v>832</v>
      </c>
      <c r="B188" s="63" t="s">
        <v>833</v>
      </c>
      <c r="C188" s="63" t="s">
        <v>834</v>
      </c>
      <c r="D188" s="63">
        <v>80123.0</v>
      </c>
      <c r="E188" s="63" t="s">
        <v>350</v>
      </c>
      <c r="F188" s="63">
        <v>3.0</v>
      </c>
      <c r="I188" s="63">
        <v>13.0</v>
      </c>
      <c r="N188" s="63">
        <v>12.0</v>
      </c>
      <c r="W188" s="64"/>
      <c r="X188" s="63">
        <v>1.0</v>
      </c>
      <c r="BM188" s="64"/>
    </row>
    <row r="189" ht="15.75" customHeight="1">
      <c r="A189" s="63" t="s">
        <v>835</v>
      </c>
      <c r="B189" s="63" t="s">
        <v>836</v>
      </c>
      <c r="C189" s="63" t="s">
        <v>837</v>
      </c>
      <c r="D189" s="63">
        <v>81647.0</v>
      </c>
      <c r="E189" s="63" t="s">
        <v>425</v>
      </c>
      <c r="F189" s="63">
        <v>3.0</v>
      </c>
      <c r="K189" s="63">
        <v>21.0</v>
      </c>
      <c r="L189" s="63">
        <v>7.0</v>
      </c>
      <c r="N189" s="63">
        <v>29.0</v>
      </c>
      <c r="W189" s="64">
        <v>2.0</v>
      </c>
      <c r="AD189" s="63">
        <v>6.0</v>
      </c>
      <c r="AE189" s="63">
        <v>35.0</v>
      </c>
      <c r="AG189" s="63">
        <v>40.0</v>
      </c>
      <c r="AP189" s="63">
        <v>1.0</v>
      </c>
      <c r="BM189" s="64"/>
    </row>
    <row r="190" ht="15.75" customHeight="1">
      <c r="A190" s="63" t="s">
        <v>838</v>
      </c>
      <c r="B190" s="63" t="s">
        <v>839</v>
      </c>
      <c r="C190" s="63" t="s">
        <v>840</v>
      </c>
      <c r="D190" s="63">
        <v>80517.0</v>
      </c>
      <c r="E190" s="63" t="s">
        <v>275</v>
      </c>
      <c r="F190" s="63">
        <v>1.0</v>
      </c>
      <c r="I190" s="63">
        <v>34.0</v>
      </c>
      <c r="N190" s="63">
        <v>29.0</v>
      </c>
      <c r="O190" s="63">
        <v>1.0</v>
      </c>
      <c r="U190" s="63">
        <v>2.0</v>
      </c>
      <c r="W190" s="64">
        <v>2.0</v>
      </c>
      <c r="AR190" s="63">
        <v>8.0</v>
      </c>
      <c r="AU190" s="63">
        <v>45.0</v>
      </c>
      <c r="AZ190" s="63">
        <v>35.0</v>
      </c>
      <c r="BG190" s="63">
        <v>3.0</v>
      </c>
      <c r="BI190" s="63">
        <v>7.0</v>
      </c>
      <c r="BK190" s="63">
        <v>16.68</v>
      </c>
      <c r="BM190" s="64"/>
      <c r="BO190" s="63">
        <v>7.0</v>
      </c>
      <c r="BT190" s="63">
        <v>6.0</v>
      </c>
      <c r="BY190" s="63">
        <v>1.0</v>
      </c>
    </row>
    <row r="191" ht="15.75" customHeight="1">
      <c r="A191" s="63" t="s">
        <v>841</v>
      </c>
      <c r="B191" s="63" t="s">
        <v>842</v>
      </c>
      <c r="C191" s="63" t="s">
        <v>843</v>
      </c>
      <c r="D191" s="63">
        <v>81007.0</v>
      </c>
      <c r="E191" s="63" t="s">
        <v>822</v>
      </c>
      <c r="W191" s="64"/>
      <c r="AR191" s="63">
        <v>32.0</v>
      </c>
      <c r="AT191" s="63">
        <v>9.0</v>
      </c>
      <c r="AU191" s="63">
        <v>33.0</v>
      </c>
      <c r="AW191" s="63">
        <v>223.0</v>
      </c>
      <c r="AX191" s="63">
        <v>34.0</v>
      </c>
      <c r="AY191" s="63">
        <v>191.0</v>
      </c>
      <c r="AZ191" s="63">
        <v>486.0</v>
      </c>
      <c r="BA191" s="63">
        <v>3.0</v>
      </c>
      <c r="BB191" s="63">
        <v>1.0</v>
      </c>
      <c r="BD191" s="63">
        <v>182.0</v>
      </c>
      <c r="BF191" s="63">
        <v>2.0</v>
      </c>
      <c r="BG191" s="63">
        <v>5.0</v>
      </c>
      <c r="BI191" s="63">
        <v>25.0</v>
      </c>
      <c r="BK191" s="63">
        <v>22.0</v>
      </c>
      <c r="BL191" s="63">
        <v>27.0</v>
      </c>
      <c r="BM191" s="64">
        <v>7.0</v>
      </c>
      <c r="BN191" s="63">
        <v>15.0</v>
      </c>
      <c r="BO191" s="63">
        <v>78.0</v>
      </c>
      <c r="BQ191" s="63">
        <v>268.0</v>
      </c>
      <c r="BR191" s="63">
        <v>67.0</v>
      </c>
      <c r="BS191" s="63">
        <v>106.0</v>
      </c>
      <c r="BT191" s="63">
        <v>421.0</v>
      </c>
      <c r="BX191" s="63">
        <v>86.0</v>
      </c>
      <c r="BY191" s="63">
        <v>12.0</v>
      </c>
      <c r="CA191" s="63">
        <v>5.0</v>
      </c>
      <c r="CC191" s="63">
        <v>44.0</v>
      </c>
    </row>
    <row r="192" ht="15.75" customHeight="1">
      <c r="A192" s="63" t="s">
        <v>844</v>
      </c>
      <c r="B192" s="63" t="s">
        <v>845</v>
      </c>
      <c r="C192" s="63" t="s">
        <v>846</v>
      </c>
      <c r="D192" s="63">
        <v>80222.0</v>
      </c>
      <c r="E192" s="63" t="s">
        <v>421</v>
      </c>
      <c r="N192" s="63">
        <v>186.0</v>
      </c>
      <c r="W192" s="64"/>
      <c r="AG192" s="63">
        <v>19.0</v>
      </c>
      <c r="AZ192" s="63">
        <v>175.0</v>
      </c>
      <c r="BI192" s="63">
        <v>8.0</v>
      </c>
      <c r="BK192" s="63">
        <v>22.6</v>
      </c>
      <c r="BM192" s="64"/>
    </row>
    <row r="193" ht="15.75" customHeight="1">
      <c r="A193" s="63" t="s">
        <v>847</v>
      </c>
      <c r="B193" s="63" t="s">
        <v>848</v>
      </c>
      <c r="C193" s="63" t="s">
        <v>849</v>
      </c>
      <c r="D193" s="63">
        <v>80651.0</v>
      </c>
      <c r="E193" s="63" t="s">
        <v>258</v>
      </c>
      <c r="H193" s="63">
        <v>40.0</v>
      </c>
      <c r="O193" s="63">
        <v>28.0</v>
      </c>
      <c r="P193" s="63">
        <v>12.0</v>
      </c>
      <c r="W193" s="64">
        <v>41.0</v>
      </c>
      <c r="AA193" s="63">
        <v>9.0</v>
      </c>
      <c r="AH193" s="63">
        <v>7.0</v>
      </c>
      <c r="AI193" s="63">
        <v>2.0</v>
      </c>
      <c r="AP193" s="63">
        <v>9.0</v>
      </c>
      <c r="BM193" s="64"/>
      <c r="BN193" s="63">
        <v>1.0</v>
      </c>
      <c r="BV193" s="63">
        <v>1.0</v>
      </c>
      <c r="CG193" s="63">
        <v>1.0</v>
      </c>
      <c r="CQ193" s="63">
        <v>1.0</v>
      </c>
      <c r="CX193" s="63">
        <v>3.0</v>
      </c>
    </row>
    <row r="194" ht="15.75" customHeight="1">
      <c r="A194" s="63" t="s">
        <v>850</v>
      </c>
      <c r="B194" s="63" t="s">
        <v>851</v>
      </c>
      <c r="C194" s="63" t="s">
        <v>852</v>
      </c>
      <c r="D194" s="63">
        <v>81008.0</v>
      </c>
      <c r="E194" s="63" t="s">
        <v>822</v>
      </c>
      <c r="F194" s="63">
        <v>48.0</v>
      </c>
      <c r="H194" s="63">
        <v>2126.0</v>
      </c>
      <c r="I194" s="63">
        <v>236.0</v>
      </c>
      <c r="J194" s="63">
        <v>341.0</v>
      </c>
      <c r="K194" s="63">
        <v>58.0</v>
      </c>
      <c r="L194" s="63">
        <v>3.0</v>
      </c>
      <c r="M194" s="63">
        <v>206.0</v>
      </c>
      <c r="N194" s="63">
        <v>559.0</v>
      </c>
      <c r="O194" s="63">
        <v>1207.0</v>
      </c>
      <c r="P194" s="63">
        <v>105.0</v>
      </c>
      <c r="Q194" s="63">
        <v>2.0</v>
      </c>
      <c r="S194" s="63">
        <v>14.0</v>
      </c>
      <c r="T194" s="63">
        <v>1.0</v>
      </c>
      <c r="U194" s="63">
        <v>746.0</v>
      </c>
      <c r="V194" s="63">
        <v>341.0</v>
      </c>
      <c r="W194" s="64">
        <v>41.0</v>
      </c>
      <c r="X194" s="63">
        <v>1.0</v>
      </c>
      <c r="Y194" s="63">
        <v>11.0</v>
      </c>
      <c r="AA194" s="63">
        <v>170.0</v>
      </c>
      <c r="AB194" s="63">
        <v>83.0</v>
      </c>
      <c r="AD194" s="63">
        <v>47.0</v>
      </c>
      <c r="AF194" s="63">
        <v>29.0</v>
      </c>
      <c r="AG194" s="63">
        <v>184.0</v>
      </c>
      <c r="AH194" s="63">
        <v>46.0</v>
      </c>
      <c r="AI194" s="63">
        <v>60.0</v>
      </c>
      <c r="AL194" s="63">
        <v>6.0</v>
      </c>
      <c r="AN194" s="63">
        <v>43.0</v>
      </c>
      <c r="AP194" s="63">
        <v>1.0</v>
      </c>
      <c r="AQ194" s="63">
        <v>1.0</v>
      </c>
      <c r="AR194" s="63">
        <v>22.0</v>
      </c>
      <c r="AS194" s="63">
        <v>3.0</v>
      </c>
      <c r="AT194" s="63">
        <v>689.0</v>
      </c>
      <c r="AU194" s="63">
        <v>220.0</v>
      </c>
      <c r="AV194" s="63">
        <v>112.0</v>
      </c>
      <c r="AW194" s="63">
        <v>24.0</v>
      </c>
      <c r="AY194" s="63">
        <v>1045.0</v>
      </c>
      <c r="AZ194" s="63">
        <v>271.0</v>
      </c>
      <c r="BA194" s="63">
        <v>54.0</v>
      </c>
      <c r="BB194" s="63">
        <v>167.0</v>
      </c>
      <c r="BD194" s="63">
        <v>1147.0</v>
      </c>
      <c r="BE194" s="63">
        <v>27.0</v>
      </c>
      <c r="BG194" s="63">
        <v>331.0</v>
      </c>
      <c r="BH194" s="63">
        <v>111.0</v>
      </c>
      <c r="BI194" s="63">
        <v>13.0</v>
      </c>
      <c r="BJ194" s="63">
        <v>1.0</v>
      </c>
      <c r="BK194" s="63">
        <v>7.0</v>
      </c>
      <c r="BL194" s="63">
        <v>8.0</v>
      </c>
      <c r="BM194" s="64">
        <v>7.0</v>
      </c>
      <c r="BN194" s="63">
        <v>605.0</v>
      </c>
      <c r="BO194" s="63">
        <v>154.0</v>
      </c>
      <c r="BP194" s="63">
        <v>37.0</v>
      </c>
      <c r="BQ194" s="63">
        <v>9.0</v>
      </c>
      <c r="BS194" s="63">
        <v>232.0</v>
      </c>
      <c r="BT194" s="63">
        <v>195.0</v>
      </c>
      <c r="BU194" s="63">
        <v>9.0</v>
      </c>
      <c r="BV194" s="63">
        <v>261.0</v>
      </c>
      <c r="BW194" s="63">
        <v>1.0</v>
      </c>
      <c r="BX194" s="63">
        <v>223.0</v>
      </c>
      <c r="BY194" s="63">
        <v>23.0</v>
      </c>
      <c r="CA194" s="63">
        <v>287.0</v>
      </c>
      <c r="CB194" s="63">
        <v>37.0</v>
      </c>
      <c r="CC194" s="63">
        <v>4.0</v>
      </c>
      <c r="CD194" s="63">
        <v>5.0</v>
      </c>
      <c r="CG194" s="63">
        <v>1.0</v>
      </c>
      <c r="CM194" s="63">
        <v>1.0</v>
      </c>
      <c r="CX194" s="63">
        <v>7.0</v>
      </c>
      <c r="DA194" s="63">
        <v>7.0</v>
      </c>
      <c r="DC194" s="63">
        <v>7.0</v>
      </c>
      <c r="DG194" s="63">
        <v>2.0</v>
      </c>
      <c r="DI194" s="63">
        <v>3.0</v>
      </c>
      <c r="DN194" s="63">
        <v>2.0</v>
      </c>
      <c r="DO194" s="63">
        <v>7.0</v>
      </c>
      <c r="DR194" s="63">
        <v>2.0</v>
      </c>
      <c r="DU194" s="63">
        <v>3.0</v>
      </c>
      <c r="DZ194" s="63">
        <v>3.0</v>
      </c>
      <c r="EB194" s="63">
        <v>2.0</v>
      </c>
      <c r="EC194" s="63">
        <v>4.0</v>
      </c>
      <c r="EL194" s="63">
        <v>9.0</v>
      </c>
      <c r="EO194" s="63">
        <v>15.0</v>
      </c>
      <c r="ET194" s="63">
        <v>1.0</v>
      </c>
      <c r="EU194" s="63">
        <v>5.0</v>
      </c>
      <c r="EV194" s="63">
        <v>1.0</v>
      </c>
      <c r="EW194" s="63">
        <v>5.0</v>
      </c>
      <c r="FB194" s="63">
        <v>3.0</v>
      </c>
      <c r="FD194" s="63">
        <v>2.0</v>
      </c>
      <c r="FF194" s="63">
        <v>9.5</v>
      </c>
      <c r="FJ194" s="63">
        <v>10.0</v>
      </c>
      <c r="FP194" s="63">
        <v>8.0</v>
      </c>
      <c r="FQ194" s="63">
        <v>2.0</v>
      </c>
      <c r="GA194" s="63">
        <v>10.5</v>
      </c>
    </row>
    <row r="195" ht="15.75" customHeight="1">
      <c r="A195" s="63" t="s">
        <v>853</v>
      </c>
      <c r="B195" s="63" t="s">
        <v>854</v>
      </c>
      <c r="C195" s="63" t="s">
        <v>855</v>
      </c>
      <c r="D195" s="63">
        <v>81623.0</v>
      </c>
      <c r="E195" s="63" t="s">
        <v>425</v>
      </c>
      <c r="F195" s="63">
        <v>41.0</v>
      </c>
      <c r="H195" s="63">
        <v>41.0</v>
      </c>
      <c r="M195" s="63">
        <v>3.0</v>
      </c>
      <c r="N195" s="63">
        <v>7.0</v>
      </c>
      <c r="O195" s="63">
        <v>30.0</v>
      </c>
      <c r="P195" s="63">
        <v>3.0</v>
      </c>
      <c r="V195" s="63">
        <v>1.0</v>
      </c>
      <c r="W195" s="64"/>
      <c r="AR195" s="63">
        <v>1.0</v>
      </c>
      <c r="AT195" s="63">
        <v>1.0</v>
      </c>
      <c r="AZ195" s="63">
        <v>1.0</v>
      </c>
      <c r="BK195" s="63">
        <v>12.0</v>
      </c>
      <c r="BM195" s="64"/>
    </row>
    <row r="196" ht="15.75" customHeight="1">
      <c r="A196" s="63" t="s">
        <v>856</v>
      </c>
      <c r="B196" s="63" t="s">
        <v>857</v>
      </c>
      <c r="C196" s="63" t="s">
        <v>858</v>
      </c>
      <c r="D196" s="63">
        <v>81520.0</v>
      </c>
      <c r="E196" s="63" t="s">
        <v>417</v>
      </c>
      <c r="I196" s="63">
        <v>10.0</v>
      </c>
      <c r="K196" s="63">
        <v>1.0</v>
      </c>
      <c r="L196" s="63">
        <v>27.0</v>
      </c>
      <c r="N196" s="63">
        <v>27.0</v>
      </c>
      <c r="P196" s="63">
        <v>5.0</v>
      </c>
      <c r="Q196" s="63">
        <v>1.0</v>
      </c>
      <c r="T196" s="63">
        <v>2.0</v>
      </c>
      <c r="W196" s="64">
        <v>3.0</v>
      </c>
      <c r="X196" s="63">
        <v>3.0</v>
      </c>
      <c r="AB196" s="63">
        <v>7.0</v>
      </c>
      <c r="AD196" s="63">
        <v>4.0</v>
      </c>
      <c r="AE196" s="63">
        <v>16.0</v>
      </c>
      <c r="AG196" s="63">
        <v>14.0</v>
      </c>
      <c r="AL196" s="63">
        <v>1.0</v>
      </c>
      <c r="AP196" s="63">
        <v>12.0</v>
      </c>
      <c r="AQ196" s="63">
        <v>12.0</v>
      </c>
      <c r="AT196" s="63">
        <v>3.0</v>
      </c>
      <c r="AU196" s="63">
        <v>9.0</v>
      </c>
      <c r="AZ196" s="63">
        <v>6.0</v>
      </c>
      <c r="BF196" s="63">
        <v>1.0</v>
      </c>
      <c r="BG196" s="63">
        <v>1.0</v>
      </c>
      <c r="BI196" s="63">
        <v>4.0</v>
      </c>
      <c r="BJ196" s="63">
        <v>4.0</v>
      </c>
      <c r="BK196" s="63">
        <v>30.0</v>
      </c>
      <c r="BM196" s="64"/>
      <c r="BN196" s="63">
        <v>20.0</v>
      </c>
      <c r="BO196" s="63">
        <v>14.0</v>
      </c>
      <c r="BR196" s="63">
        <v>4.0</v>
      </c>
      <c r="BT196" s="63">
        <v>27.0</v>
      </c>
      <c r="BY196" s="63">
        <v>2.0</v>
      </c>
      <c r="CC196" s="63">
        <v>9.0</v>
      </c>
      <c r="CD196" s="63">
        <v>9.0</v>
      </c>
    </row>
    <row r="197" ht="15.75" customHeight="1">
      <c r="A197" s="63" t="s">
        <v>859</v>
      </c>
      <c r="B197" s="63" t="s">
        <v>860</v>
      </c>
      <c r="C197" s="63" t="s">
        <v>861</v>
      </c>
      <c r="D197" s="63">
        <v>80439.0</v>
      </c>
      <c r="E197" s="63" t="s">
        <v>239</v>
      </c>
      <c r="G197" s="63">
        <v>21.0</v>
      </c>
      <c r="I197" s="63">
        <v>5.0</v>
      </c>
      <c r="K197" s="63">
        <v>3.0</v>
      </c>
      <c r="L197" s="63">
        <v>130.0</v>
      </c>
      <c r="N197" s="63">
        <v>159.0</v>
      </c>
      <c r="S197" s="63">
        <v>2.0</v>
      </c>
      <c r="W197" s="64"/>
      <c r="X197" s="63">
        <v>32.0</v>
      </c>
      <c r="Z197" s="63">
        <v>10.0</v>
      </c>
      <c r="AE197" s="63">
        <v>44.0</v>
      </c>
      <c r="AF197" s="63">
        <v>27.0</v>
      </c>
      <c r="AG197" s="63">
        <v>70.0</v>
      </c>
      <c r="AI197" s="63">
        <v>1.0</v>
      </c>
      <c r="AQ197" s="63">
        <v>4.0</v>
      </c>
      <c r="BM197" s="64"/>
    </row>
    <row r="198" ht="15.75" customHeight="1">
      <c r="A198" s="63" t="s">
        <v>862</v>
      </c>
      <c r="B198" s="63" t="s">
        <v>863</v>
      </c>
      <c r="C198" s="63" t="s">
        <v>864</v>
      </c>
      <c r="D198" s="63">
        <v>81428.0</v>
      </c>
      <c r="E198" s="63" t="s">
        <v>323</v>
      </c>
      <c r="F198" s="63">
        <v>5.0</v>
      </c>
      <c r="G198" s="63">
        <v>5.0</v>
      </c>
      <c r="H198" s="63">
        <v>3.0</v>
      </c>
      <c r="L198" s="63">
        <v>65.0</v>
      </c>
      <c r="N198" s="63">
        <v>60.0</v>
      </c>
      <c r="P198" s="63">
        <v>42.0</v>
      </c>
      <c r="Q198" s="63">
        <v>1.0</v>
      </c>
      <c r="S198" s="63">
        <v>1.0</v>
      </c>
      <c r="W198" s="64">
        <v>5.0</v>
      </c>
      <c r="X198" s="63">
        <v>8.0</v>
      </c>
      <c r="Y198" s="63">
        <v>7.0</v>
      </c>
      <c r="Z198" s="63">
        <v>7.0</v>
      </c>
      <c r="AB198" s="63">
        <v>15.0</v>
      </c>
      <c r="AE198" s="63">
        <v>460.0</v>
      </c>
      <c r="AG198" s="63">
        <v>413.0</v>
      </c>
      <c r="AI198" s="63">
        <v>34.0</v>
      </c>
      <c r="AL198" s="63">
        <v>4.0</v>
      </c>
      <c r="AP198" s="63">
        <v>31.0</v>
      </c>
      <c r="AQ198" s="63">
        <v>31.0</v>
      </c>
      <c r="AR198" s="63">
        <v>3.0</v>
      </c>
      <c r="AS198" s="63">
        <v>3.0</v>
      </c>
      <c r="AX198" s="63">
        <v>34.0</v>
      </c>
      <c r="AZ198" s="63">
        <v>32.0</v>
      </c>
      <c r="BB198" s="63">
        <v>5.0</v>
      </c>
      <c r="BK198" s="63">
        <v>28.0</v>
      </c>
      <c r="BL198" s="63">
        <v>4.0</v>
      </c>
      <c r="BM198" s="64">
        <v>4.0</v>
      </c>
      <c r="BR198" s="63">
        <v>103.0</v>
      </c>
      <c r="BT198" s="63">
        <v>85.0</v>
      </c>
      <c r="BV198" s="63">
        <v>6.0</v>
      </c>
      <c r="BY198" s="63">
        <v>7.0</v>
      </c>
      <c r="CC198" s="63">
        <v>9.0</v>
      </c>
      <c r="CD198" s="63">
        <v>9.0</v>
      </c>
    </row>
    <row r="199" ht="15.75" customHeight="1">
      <c r="A199" s="63" t="s">
        <v>865</v>
      </c>
      <c r="B199" s="63" t="s">
        <v>866</v>
      </c>
      <c r="C199" s="63" t="s">
        <v>867</v>
      </c>
      <c r="D199" s="63">
        <v>81650.0</v>
      </c>
      <c r="E199" s="63" t="s">
        <v>425</v>
      </c>
      <c r="F199" s="63">
        <v>23.0</v>
      </c>
      <c r="H199" s="63">
        <v>213.0</v>
      </c>
      <c r="I199" s="63">
        <v>191.0</v>
      </c>
      <c r="K199" s="63">
        <v>105.0</v>
      </c>
      <c r="L199" s="63">
        <v>44.0</v>
      </c>
      <c r="N199" s="63">
        <v>388.0</v>
      </c>
      <c r="O199" s="63">
        <v>155.0</v>
      </c>
      <c r="P199" s="63">
        <v>9.0</v>
      </c>
      <c r="Q199" s="63">
        <v>4.0</v>
      </c>
      <c r="S199" s="63">
        <v>2.0</v>
      </c>
      <c r="U199" s="63">
        <v>4.0</v>
      </c>
      <c r="W199" s="64">
        <v>26.0</v>
      </c>
      <c r="Y199" s="63">
        <v>3.0</v>
      </c>
      <c r="AA199" s="63">
        <v>29.0</v>
      </c>
      <c r="AB199" s="63">
        <v>56.0</v>
      </c>
      <c r="AD199" s="63">
        <v>41.0</v>
      </c>
      <c r="AE199" s="63">
        <v>16.0</v>
      </c>
      <c r="AF199" s="63">
        <v>4.0</v>
      </c>
      <c r="AG199" s="63">
        <v>123.0</v>
      </c>
      <c r="AH199" s="63">
        <v>13.0</v>
      </c>
      <c r="AM199" s="63">
        <v>1.0</v>
      </c>
      <c r="AP199" s="63">
        <v>1.0</v>
      </c>
      <c r="AR199" s="63">
        <v>18.0</v>
      </c>
      <c r="AT199" s="63">
        <v>74.0</v>
      </c>
      <c r="AU199" s="63">
        <v>87.0</v>
      </c>
      <c r="AW199" s="63">
        <v>35.0</v>
      </c>
      <c r="AX199" s="63">
        <v>2.0</v>
      </c>
      <c r="AY199" s="63">
        <v>17.0</v>
      </c>
      <c r="AZ199" s="63">
        <v>181.0</v>
      </c>
      <c r="BA199" s="63">
        <v>10.0</v>
      </c>
      <c r="BD199" s="63">
        <v>14.0</v>
      </c>
      <c r="BG199" s="63">
        <v>9.0</v>
      </c>
      <c r="BI199" s="63">
        <v>30.0</v>
      </c>
      <c r="BK199" s="63">
        <v>40.6</v>
      </c>
      <c r="BL199" s="63">
        <v>38.0</v>
      </c>
      <c r="BM199" s="64"/>
      <c r="BN199" s="63">
        <v>181.0</v>
      </c>
      <c r="BO199" s="63">
        <v>197.0</v>
      </c>
      <c r="BQ199" s="63">
        <v>55.0</v>
      </c>
      <c r="BR199" s="63">
        <v>69.0</v>
      </c>
      <c r="BS199" s="63">
        <v>64.0</v>
      </c>
      <c r="BT199" s="63">
        <v>472.0</v>
      </c>
      <c r="BU199" s="63">
        <v>1.0</v>
      </c>
      <c r="BX199" s="63">
        <v>11.0</v>
      </c>
      <c r="BY199" s="63">
        <v>25.0</v>
      </c>
      <c r="CA199" s="63">
        <v>14.0</v>
      </c>
      <c r="CC199" s="63">
        <v>57.0</v>
      </c>
      <c r="CG199" s="63">
        <v>2.0</v>
      </c>
      <c r="CM199" s="63">
        <v>2.0</v>
      </c>
      <c r="CX199" s="63">
        <v>12.0</v>
      </c>
      <c r="DA199" s="63">
        <v>1.0</v>
      </c>
      <c r="DB199" s="63">
        <v>1.0</v>
      </c>
      <c r="DG199" s="63">
        <v>1.0</v>
      </c>
      <c r="DL199" s="63">
        <v>1.0</v>
      </c>
      <c r="DR199" s="63">
        <v>30.0</v>
      </c>
      <c r="DU199" s="63">
        <v>1.0</v>
      </c>
      <c r="EC199" s="63">
        <v>1.0</v>
      </c>
      <c r="EO199" s="63">
        <v>5.0</v>
      </c>
      <c r="EP199" s="63">
        <v>3.0</v>
      </c>
      <c r="EU199" s="63">
        <v>5.0</v>
      </c>
      <c r="EW199" s="63">
        <v>1.0</v>
      </c>
      <c r="FD199" s="63">
        <v>2.0</v>
      </c>
      <c r="FF199" s="63">
        <v>44.3</v>
      </c>
      <c r="FJ199" s="63">
        <v>4.0</v>
      </c>
      <c r="FP199" s="63">
        <v>3.0</v>
      </c>
      <c r="FQ199" s="63">
        <v>1.0</v>
      </c>
      <c r="GA199" s="63">
        <v>4.4</v>
      </c>
    </row>
    <row r="200" ht="15.75" customHeight="1">
      <c r="A200" s="63" t="s">
        <v>868</v>
      </c>
      <c r="B200" s="63" t="s">
        <v>869</v>
      </c>
      <c r="C200" s="63" t="s">
        <v>870</v>
      </c>
      <c r="D200" s="63">
        <v>80111.0</v>
      </c>
      <c r="E200" s="63" t="s">
        <v>350</v>
      </c>
      <c r="F200" s="63">
        <v>24.0</v>
      </c>
      <c r="G200" s="63">
        <v>24.0</v>
      </c>
      <c r="I200" s="63">
        <v>84.0</v>
      </c>
      <c r="K200" s="63">
        <v>26.0</v>
      </c>
      <c r="L200" s="63">
        <v>36.0</v>
      </c>
      <c r="N200" s="63">
        <v>134.0</v>
      </c>
      <c r="O200" s="63">
        <v>2.0</v>
      </c>
      <c r="P200" s="63">
        <v>2.0</v>
      </c>
      <c r="Q200" s="63">
        <v>1.0</v>
      </c>
      <c r="S200" s="63">
        <v>2.0</v>
      </c>
      <c r="U200" s="63">
        <v>4.0</v>
      </c>
      <c r="W200" s="64">
        <v>25.0</v>
      </c>
      <c r="X200" s="63">
        <v>25.0</v>
      </c>
      <c r="AB200" s="63">
        <v>9.0</v>
      </c>
      <c r="AG200" s="63">
        <v>3.0</v>
      </c>
      <c r="AP200" s="63">
        <v>6.0</v>
      </c>
      <c r="AQ200" s="63">
        <v>6.0</v>
      </c>
      <c r="BM200" s="64"/>
    </row>
    <row r="201" ht="15.75" customHeight="1">
      <c r="A201" s="63" t="s">
        <v>871</v>
      </c>
      <c r="B201" s="63" t="s">
        <v>872</v>
      </c>
      <c r="C201" s="63" t="s">
        <v>873</v>
      </c>
      <c r="D201" s="63">
        <v>81007.0</v>
      </c>
      <c r="E201" s="63" t="s">
        <v>822</v>
      </c>
      <c r="G201" s="63">
        <v>17.0</v>
      </c>
      <c r="I201" s="63">
        <v>13.0</v>
      </c>
      <c r="K201" s="63">
        <v>16.0</v>
      </c>
      <c r="L201" s="63">
        <v>5.0</v>
      </c>
      <c r="M201" s="63">
        <v>16.0</v>
      </c>
      <c r="N201" s="63">
        <v>49.0</v>
      </c>
      <c r="S201" s="63">
        <v>3.0</v>
      </c>
      <c r="U201" s="63">
        <v>1.0</v>
      </c>
      <c r="W201" s="64"/>
      <c r="X201" s="63">
        <v>14.0</v>
      </c>
      <c r="BM201" s="64"/>
    </row>
    <row r="202" ht="15.75" customHeight="1">
      <c r="A202" s="63" t="s">
        <v>874</v>
      </c>
      <c r="B202" s="63" t="s">
        <v>875</v>
      </c>
      <c r="C202" s="63" t="s">
        <v>876</v>
      </c>
      <c r="D202" s="63">
        <v>80223.0</v>
      </c>
      <c r="E202" s="63" t="s">
        <v>421</v>
      </c>
      <c r="W202" s="64"/>
      <c r="AR202" s="63">
        <v>80.0</v>
      </c>
      <c r="AS202" s="63">
        <v>12.0</v>
      </c>
      <c r="AT202" s="63">
        <v>92.0</v>
      </c>
      <c r="AU202" s="63">
        <v>120.0</v>
      </c>
      <c r="AW202" s="63">
        <v>38.0</v>
      </c>
      <c r="AX202" s="63">
        <v>134.0</v>
      </c>
      <c r="AZ202" s="63">
        <v>522.0</v>
      </c>
      <c r="BA202" s="63">
        <v>1.0</v>
      </c>
      <c r="BC202" s="63">
        <v>1.0</v>
      </c>
      <c r="BE202" s="63">
        <v>7.0</v>
      </c>
      <c r="BG202" s="63">
        <v>12.0</v>
      </c>
      <c r="BI202" s="63">
        <v>70.0</v>
      </c>
      <c r="BJ202" s="63">
        <v>25.0</v>
      </c>
      <c r="BK202" s="63">
        <v>146.0</v>
      </c>
      <c r="BM202" s="64">
        <v>27.0</v>
      </c>
      <c r="BN202" s="63">
        <v>255.0</v>
      </c>
      <c r="BO202" s="63">
        <v>50.0</v>
      </c>
      <c r="BQ202" s="63">
        <v>44.0</v>
      </c>
      <c r="BR202" s="63">
        <v>135.0</v>
      </c>
      <c r="BS202" s="63">
        <v>43.0</v>
      </c>
      <c r="BT202" s="63">
        <v>558.0</v>
      </c>
      <c r="BY202" s="63">
        <v>47.0</v>
      </c>
      <c r="CA202" s="63">
        <v>14.0</v>
      </c>
      <c r="CD202" s="63">
        <v>31.0</v>
      </c>
    </row>
    <row r="203" ht="15.75" customHeight="1">
      <c r="A203" s="63" t="s">
        <v>877</v>
      </c>
      <c r="B203" s="63" t="s">
        <v>878</v>
      </c>
      <c r="C203" s="63" t="s">
        <v>879</v>
      </c>
      <c r="D203" s="63">
        <v>80228.0</v>
      </c>
      <c r="E203" s="63" t="s">
        <v>239</v>
      </c>
      <c r="F203" s="63">
        <v>14.0</v>
      </c>
      <c r="G203" s="63">
        <v>14.0</v>
      </c>
      <c r="I203" s="63">
        <v>45.0</v>
      </c>
      <c r="K203" s="63">
        <v>4.0</v>
      </c>
      <c r="L203" s="63">
        <v>4.0</v>
      </c>
      <c r="N203" s="63">
        <v>57.0</v>
      </c>
      <c r="U203" s="63">
        <v>3.0</v>
      </c>
      <c r="W203" s="64">
        <v>7.0</v>
      </c>
      <c r="X203" s="63">
        <v>7.0</v>
      </c>
      <c r="BM203" s="64"/>
    </row>
    <row r="204" ht="15.75" customHeight="1">
      <c r="A204" s="63" t="s">
        <v>880</v>
      </c>
      <c r="B204" s="63" t="s">
        <v>881</v>
      </c>
      <c r="C204" s="63" t="s">
        <v>882</v>
      </c>
      <c r="D204" s="63">
        <v>80038.0</v>
      </c>
      <c r="E204" s="63" t="s">
        <v>444</v>
      </c>
      <c r="G204" s="63">
        <v>9.0</v>
      </c>
      <c r="K204" s="63">
        <v>2.0</v>
      </c>
      <c r="L204" s="63">
        <v>198.0</v>
      </c>
      <c r="M204" s="63">
        <v>3.0</v>
      </c>
      <c r="N204" s="63">
        <v>198.0</v>
      </c>
      <c r="Q204" s="63">
        <v>1.0</v>
      </c>
      <c r="S204" s="63">
        <v>3.0</v>
      </c>
      <c r="W204" s="64"/>
      <c r="X204" s="63">
        <v>18.0</v>
      </c>
      <c r="Z204" s="63">
        <v>8.0</v>
      </c>
      <c r="AE204" s="63">
        <v>88.0</v>
      </c>
      <c r="AG204" s="63">
        <v>83.0</v>
      </c>
      <c r="AL204" s="63">
        <v>1.0</v>
      </c>
      <c r="AQ204" s="63">
        <v>12.0</v>
      </c>
      <c r="BM204" s="64"/>
    </row>
    <row r="205" ht="15.75" customHeight="1">
      <c r="A205" s="63" t="s">
        <v>883</v>
      </c>
      <c r="B205" s="63" t="s">
        <v>884</v>
      </c>
      <c r="C205" s="63" t="s">
        <v>885</v>
      </c>
      <c r="D205" s="63">
        <v>80621.0</v>
      </c>
      <c r="E205" s="63" t="s">
        <v>258</v>
      </c>
      <c r="G205" s="63">
        <v>25.0</v>
      </c>
      <c r="K205" s="63">
        <v>15.0</v>
      </c>
      <c r="L205" s="63">
        <v>515.0</v>
      </c>
      <c r="N205" s="63">
        <v>540.0</v>
      </c>
      <c r="W205" s="64"/>
      <c r="X205" s="63">
        <v>15.0</v>
      </c>
      <c r="Z205" s="63">
        <v>8.0</v>
      </c>
      <c r="AD205" s="63">
        <v>25.0</v>
      </c>
      <c r="AE205" s="63">
        <v>330.0</v>
      </c>
      <c r="AG205" s="63">
        <v>357.0</v>
      </c>
      <c r="AL205" s="63">
        <v>6.0</v>
      </c>
      <c r="BM205" s="64"/>
    </row>
    <row r="206" ht="15.75" customHeight="1">
      <c r="A206" s="63" t="s">
        <v>886</v>
      </c>
      <c r="B206" s="63" t="s">
        <v>887</v>
      </c>
      <c r="C206" s="63" t="s">
        <v>888</v>
      </c>
      <c r="D206" s="63">
        <v>80634.0</v>
      </c>
      <c r="E206" s="63" t="s">
        <v>258</v>
      </c>
      <c r="W206" s="64"/>
      <c r="AS206" s="63">
        <v>8.0</v>
      </c>
      <c r="AU206" s="63">
        <v>2.0</v>
      </c>
      <c r="AX206" s="63">
        <v>15.0</v>
      </c>
      <c r="AZ206" s="63">
        <v>17.0</v>
      </c>
      <c r="BG206" s="63">
        <v>1.0</v>
      </c>
      <c r="BJ206" s="63">
        <v>7.0</v>
      </c>
      <c r="BK206" s="63">
        <v>443.0</v>
      </c>
      <c r="BM206" s="64"/>
      <c r="BR206" s="63">
        <v>14.0</v>
      </c>
      <c r="BT206" s="63">
        <v>10.0</v>
      </c>
      <c r="BY206" s="63">
        <v>1.0</v>
      </c>
      <c r="CD206" s="63">
        <v>3.0</v>
      </c>
    </row>
    <row r="207" ht="15.75" customHeight="1">
      <c r="A207" s="63" t="s">
        <v>889</v>
      </c>
      <c r="B207" s="63" t="s">
        <v>890</v>
      </c>
      <c r="C207" s="63" t="s">
        <v>891</v>
      </c>
      <c r="D207" s="63">
        <v>80134.0</v>
      </c>
      <c r="E207" s="63" t="s">
        <v>235</v>
      </c>
      <c r="F207" s="63">
        <v>1.0</v>
      </c>
      <c r="G207" s="63">
        <v>1.0</v>
      </c>
      <c r="I207" s="63">
        <v>36.0</v>
      </c>
      <c r="K207" s="63">
        <v>5.0</v>
      </c>
      <c r="N207" s="63">
        <v>41.0</v>
      </c>
      <c r="W207" s="64">
        <v>41.0</v>
      </c>
      <c r="X207" s="63">
        <v>1.0</v>
      </c>
      <c r="BM207" s="64"/>
    </row>
    <row r="208" ht="15.75" customHeight="1">
      <c r="A208" s="63" t="s">
        <v>892</v>
      </c>
      <c r="B208" s="63" t="s">
        <v>893</v>
      </c>
      <c r="C208" s="63" t="s">
        <v>894</v>
      </c>
      <c r="D208" s="63">
        <v>81501.0</v>
      </c>
      <c r="E208" s="63" t="s">
        <v>417</v>
      </c>
      <c r="F208" s="63">
        <v>27.0</v>
      </c>
      <c r="G208" s="63">
        <v>6.0</v>
      </c>
      <c r="I208" s="63">
        <v>87.0</v>
      </c>
      <c r="K208" s="63">
        <v>80.0</v>
      </c>
      <c r="L208" s="63">
        <v>138.0</v>
      </c>
      <c r="M208" s="63">
        <v>93.0</v>
      </c>
      <c r="N208" s="63">
        <v>387.0</v>
      </c>
      <c r="O208" s="63">
        <v>3.0</v>
      </c>
      <c r="P208" s="63">
        <v>1.0</v>
      </c>
      <c r="Q208" s="63">
        <v>7.0</v>
      </c>
      <c r="W208" s="64">
        <v>33.0</v>
      </c>
      <c r="Y208" s="63">
        <v>2.0</v>
      </c>
      <c r="AA208" s="63">
        <v>5.0</v>
      </c>
      <c r="AB208" s="63">
        <v>45.0</v>
      </c>
      <c r="AD208" s="63">
        <v>10.0</v>
      </c>
      <c r="AE208" s="63">
        <v>19.0</v>
      </c>
      <c r="AF208" s="63">
        <v>16.0</v>
      </c>
      <c r="AG208" s="63">
        <v>98.0</v>
      </c>
      <c r="AJ208" s="63">
        <v>1.0</v>
      </c>
      <c r="AL208" s="63">
        <v>1.0</v>
      </c>
      <c r="AP208" s="63">
        <v>4.0</v>
      </c>
      <c r="AR208" s="63">
        <v>20.0</v>
      </c>
      <c r="AS208" s="63">
        <v>2.0</v>
      </c>
      <c r="AT208" s="63">
        <v>26.0</v>
      </c>
      <c r="AU208" s="63">
        <v>58.0</v>
      </c>
      <c r="AW208" s="63">
        <v>2.0</v>
      </c>
      <c r="AX208" s="63">
        <v>3.0</v>
      </c>
      <c r="AY208" s="63">
        <v>17.0</v>
      </c>
      <c r="AZ208" s="63">
        <v>106.0</v>
      </c>
      <c r="BA208" s="63">
        <v>2.0</v>
      </c>
      <c r="BC208" s="63">
        <v>1.0</v>
      </c>
      <c r="BE208" s="63">
        <v>2.0</v>
      </c>
      <c r="BI208" s="63">
        <v>16.0</v>
      </c>
      <c r="BK208" s="63">
        <v>23.1</v>
      </c>
      <c r="BL208" s="63">
        <v>13.0</v>
      </c>
      <c r="BM208" s="64"/>
      <c r="BN208" s="63">
        <v>195.0</v>
      </c>
      <c r="BO208" s="63">
        <v>81.0</v>
      </c>
      <c r="BQ208" s="63">
        <v>3.0</v>
      </c>
      <c r="BR208" s="63">
        <v>6.0</v>
      </c>
      <c r="BS208" s="63">
        <v>19.0</v>
      </c>
      <c r="BT208" s="63">
        <v>289.0</v>
      </c>
      <c r="BU208" s="63">
        <v>6.0</v>
      </c>
      <c r="BY208" s="63">
        <v>5.0</v>
      </c>
      <c r="CC208" s="63">
        <v>17.0</v>
      </c>
      <c r="CD208" s="63">
        <v>5.0</v>
      </c>
    </row>
    <row r="209" ht="15.75" customHeight="1">
      <c r="A209" s="63" t="s">
        <v>895</v>
      </c>
      <c r="B209" s="63" t="s">
        <v>896</v>
      </c>
      <c r="C209" s="63" t="s">
        <v>897</v>
      </c>
      <c r="D209" s="63">
        <v>80128.0</v>
      </c>
      <c r="E209" s="63" t="s">
        <v>239</v>
      </c>
      <c r="F209" s="63">
        <v>6.0</v>
      </c>
      <c r="G209" s="63">
        <v>6.0</v>
      </c>
      <c r="I209" s="63">
        <v>4.0</v>
      </c>
      <c r="K209" s="63">
        <v>14.0</v>
      </c>
      <c r="L209" s="63">
        <v>7.0</v>
      </c>
      <c r="N209" s="63">
        <v>16.0</v>
      </c>
      <c r="U209" s="63">
        <v>3.0</v>
      </c>
      <c r="W209" s="64">
        <v>3.0</v>
      </c>
      <c r="X209" s="63">
        <v>3.0</v>
      </c>
      <c r="BM209" s="64"/>
    </row>
    <row r="210" ht="15.75" customHeight="1">
      <c r="A210" s="63" t="s">
        <v>898</v>
      </c>
      <c r="B210" s="63" t="s">
        <v>899</v>
      </c>
      <c r="C210" s="63" t="s">
        <v>900</v>
      </c>
      <c r="D210" s="63">
        <v>80477.0</v>
      </c>
      <c r="E210" s="63" t="s">
        <v>901</v>
      </c>
      <c r="F210" s="63">
        <v>4.0</v>
      </c>
      <c r="G210" s="63">
        <v>1.0</v>
      </c>
      <c r="H210" s="63">
        <v>216.0</v>
      </c>
      <c r="I210" s="63">
        <v>57.0</v>
      </c>
      <c r="M210" s="63">
        <v>13.0</v>
      </c>
      <c r="N210" s="63">
        <v>86.0</v>
      </c>
      <c r="O210" s="63">
        <v>194.0</v>
      </c>
      <c r="P210" s="63">
        <v>2.0</v>
      </c>
      <c r="R210" s="63">
        <v>1.0</v>
      </c>
      <c r="S210" s="63">
        <v>1.0</v>
      </c>
      <c r="U210" s="63">
        <v>3.0</v>
      </c>
      <c r="W210" s="64">
        <v>3.0</v>
      </c>
      <c r="X210" s="63">
        <v>3.0</v>
      </c>
      <c r="AA210" s="63">
        <v>3.0</v>
      </c>
      <c r="AB210" s="63">
        <v>1.0</v>
      </c>
      <c r="AD210" s="63">
        <v>1.0</v>
      </c>
      <c r="AF210" s="63">
        <v>2.0</v>
      </c>
      <c r="AG210" s="63">
        <v>4.0</v>
      </c>
      <c r="AH210" s="63">
        <v>1.0</v>
      </c>
      <c r="AR210" s="63">
        <v>27.0</v>
      </c>
      <c r="AS210" s="63">
        <v>2.0</v>
      </c>
      <c r="AT210" s="63">
        <v>90.0</v>
      </c>
      <c r="AU210" s="63">
        <v>43.0</v>
      </c>
      <c r="AY210" s="63">
        <v>4.0</v>
      </c>
      <c r="AZ210" s="63">
        <v>110.0</v>
      </c>
      <c r="BA210" s="63">
        <v>13.0</v>
      </c>
      <c r="BB210" s="63">
        <v>32.0</v>
      </c>
      <c r="BG210" s="63">
        <v>12.0</v>
      </c>
      <c r="BI210" s="63">
        <v>14.0</v>
      </c>
      <c r="BK210" s="63">
        <v>50.0</v>
      </c>
      <c r="BL210" s="63">
        <v>1.0</v>
      </c>
      <c r="BM210" s="64">
        <v>2.0</v>
      </c>
      <c r="BN210" s="63">
        <v>93.0</v>
      </c>
      <c r="BO210" s="63">
        <v>18.0</v>
      </c>
      <c r="BS210" s="63">
        <v>2.0</v>
      </c>
      <c r="BT210" s="63">
        <v>81.0</v>
      </c>
      <c r="BU210" s="63">
        <v>2.0</v>
      </c>
      <c r="BV210" s="63">
        <v>1.0</v>
      </c>
      <c r="BY210" s="63">
        <v>2.0</v>
      </c>
      <c r="CC210" s="63">
        <v>3.0</v>
      </c>
      <c r="CD210" s="63">
        <v>3.0</v>
      </c>
      <c r="CG210" s="63">
        <v>9.0</v>
      </c>
      <c r="CH210" s="63">
        <v>1.0</v>
      </c>
      <c r="CM210" s="63">
        <v>10.0</v>
      </c>
      <c r="CX210" s="63">
        <v>10.0</v>
      </c>
      <c r="DZ210" s="63">
        <v>1.0</v>
      </c>
      <c r="EA210" s="63">
        <v>1.0</v>
      </c>
      <c r="EL210" s="63">
        <v>51.0</v>
      </c>
      <c r="EM210" s="63">
        <v>2.0</v>
      </c>
      <c r="EP210" s="63">
        <v>2.0</v>
      </c>
      <c r="EW210" s="63">
        <v>2.0</v>
      </c>
      <c r="FF210" s="63">
        <v>28.0</v>
      </c>
    </row>
    <row r="211" ht="15.75" customHeight="1">
      <c r="A211" s="63" t="s">
        <v>902</v>
      </c>
      <c r="B211" s="63" t="s">
        <v>903</v>
      </c>
      <c r="C211" s="63" t="s">
        <v>904</v>
      </c>
      <c r="D211" s="63">
        <v>80010.0</v>
      </c>
      <c r="E211" s="63" t="s">
        <v>350</v>
      </c>
      <c r="F211" s="63">
        <v>12.0</v>
      </c>
      <c r="G211" s="63">
        <v>12.0</v>
      </c>
      <c r="I211" s="63">
        <v>2.0</v>
      </c>
      <c r="L211" s="63">
        <v>425.0</v>
      </c>
      <c r="N211" s="63">
        <v>429.0</v>
      </c>
      <c r="S211" s="63">
        <v>3.0</v>
      </c>
      <c r="U211" s="63">
        <v>2.0</v>
      </c>
      <c r="W211" s="64">
        <v>5.0</v>
      </c>
      <c r="X211" s="63">
        <v>5.0</v>
      </c>
      <c r="Y211" s="63">
        <v>7.0</v>
      </c>
      <c r="Z211" s="63">
        <v>7.0</v>
      </c>
      <c r="AE211" s="63">
        <v>468.0</v>
      </c>
      <c r="AG211" s="63">
        <v>445.0</v>
      </c>
      <c r="AL211" s="63">
        <v>13.0</v>
      </c>
      <c r="AP211" s="63">
        <v>17.0</v>
      </c>
      <c r="AQ211" s="63">
        <v>17.0</v>
      </c>
      <c r="AW211" s="63">
        <v>83.0</v>
      </c>
      <c r="AZ211" s="63">
        <v>70.0</v>
      </c>
      <c r="BB211" s="63">
        <v>10.0</v>
      </c>
      <c r="BE211" s="63">
        <v>1.0</v>
      </c>
      <c r="BI211" s="63">
        <v>2.0</v>
      </c>
      <c r="BJ211" s="63">
        <v>2.0</v>
      </c>
      <c r="BK211" s="63">
        <v>62.0</v>
      </c>
      <c r="BM211" s="64"/>
      <c r="BR211" s="63">
        <v>65.0</v>
      </c>
      <c r="BT211" s="63">
        <v>64.0</v>
      </c>
      <c r="BY211" s="63">
        <v>1.0</v>
      </c>
    </row>
    <row r="212" ht="15.75" customHeight="1">
      <c r="A212" s="63" t="s">
        <v>905</v>
      </c>
      <c r="B212" s="63" t="s">
        <v>906</v>
      </c>
      <c r="C212" s="63" t="s">
        <v>907</v>
      </c>
      <c r="D212" s="63">
        <v>81323.0</v>
      </c>
      <c r="E212" s="63" t="s">
        <v>380</v>
      </c>
      <c r="W212" s="64"/>
      <c r="Z212" s="63">
        <v>37.0</v>
      </c>
      <c r="AA212" s="63">
        <v>20.0</v>
      </c>
      <c r="AB212" s="63">
        <v>15.0</v>
      </c>
      <c r="AD212" s="63">
        <v>1.0</v>
      </c>
      <c r="AE212" s="63">
        <v>1.0</v>
      </c>
      <c r="AF212" s="63">
        <v>1.0</v>
      </c>
      <c r="AG212" s="63">
        <v>2.0</v>
      </c>
      <c r="AI212" s="63">
        <v>33.0</v>
      </c>
      <c r="AL212" s="63">
        <v>1.0</v>
      </c>
      <c r="AN212" s="63">
        <v>1.0</v>
      </c>
      <c r="BM212" s="64"/>
    </row>
    <row r="213" ht="15.75" customHeight="1">
      <c r="A213" s="63" t="s">
        <v>908</v>
      </c>
      <c r="B213" s="63" t="s">
        <v>909</v>
      </c>
      <c r="C213" s="63" t="s">
        <v>910</v>
      </c>
      <c r="D213" s="63">
        <v>80401.0</v>
      </c>
      <c r="E213" s="63" t="s">
        <v>239</v>
      </c>
      <c r="G213" s="63">
        <v>14.0</v>
      </c>
      <c r="I213" s="63">
        <v>44.0</v>
      </c>
      <c r="K213" s="63">
        <v>65.0</v>
      </c>
      <c r="L213" s="63">
        <v>127.0</v>
      </c>
      <c r="M213" s="63">
        <v>3.0</v>
      </c>
      <c r="N213" s="63">
        <v>233.0</v>
      </c>
      <c r="P213" s="63">
        <v>2.0</v>
      </c>
      <c r="R213" s="63">
        <v>3.0</v>
      </c>
      <c r="U213" s="63">
        <v>1.0</v>
      </c>
      <c r="W213" s="64"/>
      <c r="X213" s="63">
        <v>17.0</v>
      </c>
      <c r="AD213" s="63">
        <v>8.0</v>
      </c>
      <c r="AE213" s="63">
        <v>8.0</v>
      </c>
      <c r="AG213" s="63">
        <v>16.0</v>
      </c>
      <c r="BM213" s="64"/>
    </row>
    <row r="214" ht="15.75" customHeight="1">
      <c r="A214" s="63" t="s">
        <v>911</v>
      </c>
      <c r="B214" s="63" t="s">
        <v>912</v>
      </c>
      <c r="C214" s="63" t="s">
        <v>913</v>
      </c>
      <c r="D214" s="63">
        <v>80829.0</v>
      </c>
      <c r="E214" s="63" t="s">
        <v>243</v>
      </c>
      <c r="I214" s="63">
        <v>26.0</v>
      </c>
      <c r="M214" s="63">
        <v>3.0</v>
      </c>
      <c r="N214" s="63">
        <v>26.0</v>
      </c>
      <c r="O214" s="63">
        <v>1.0</v>
      </c>
      <c r="U214" s="63">
        <v>1.0</v>
      </c>
      <c r="W214" s="64"/>
      <c r="AR214" s="63">
        <v>12.0</v>
      </c>
      <c r="AS214" s="63">
        <v>2.0</v>
      </c>
      <c r="AW214" s="63">
        <v>2.0</v>
      </c>
      <c r="AY214" s="63">
        <v>6.0</v>
      </c>
      <c r="AZ214" s="63">
        <v>45.0</v>
      </c>
      <c r="BA214" s="63">
        <v>2.0</v>
      </c>
      <c r="BG214" s="63">
        <v>1.0</v>
      </c>
      <c r="BI214" s="63">
        <v>19.0</v>
      </c>
      <c r="BJ214" s="63">
        <v>1.0</v>
      </c>
      <c r="BK214" s="63">
        <v>134.0</v>
      </c>
      <c r="BM214" s="64"/>
    </row>
    <row r="215" ht="15.75" customHeight="1">
      <c r="A215" s="63" t="s">
        <v>914</v>
      </c>
      <c r="B215" s="63" t="s">
        <v>915</v>
      </c>
      <c r="C215" s="63" t="s">
        <v>916</v>
      </c>
      <c r="D215" s="63">
        <v>81152.0</v>
      </c>
      <c r="E215" s="63" t="s">
        <v>917</v>
      </c>
      <c r="F215" s="63">
        <v>31.0</v>
      </c>
      <c r="H215" s="63">
        <v>20.0</v>
      </c>
      <c r="I215" s="63">
        <v>123.0</v>
      </c>
      <c r="K215" s="63">
        <v>47.0</v>
      </c>
      <c r="L215" s="63">
        <v>18.0</v>
      </c>
      <c r="M215" s="63">
        <v>1.0</v>
      </c>
      <c r="N215" s="63">
        <v>185.0</v>
      </c>
      <c r="O215" s="63">
        <v>1.0</v>
      </c>
      <c r="P215" s="63">
        <v>22.0</v>
      </c>
      <c r="R215" s="63">
        <v>1.0</v>
      </c>
      <c r="S215" s="63">
        <v>1.0</v>
      </c>
      <c r="W215" s="64">
        <v>46.0</v>
      </c>
      <c r="Y215" s="63">
        <v>16.0</v>
      </c>
      <c r="AA215" s="63">
        <v>4.0</v>
      </c>
      <c r="AB215" s="63">
        <v>136.0</v>
      </c>
      <c r="AD215" s="63">
        <v>6.0</v>
      </c>
      <c r="AG215" s="63">
        <v>118.0</v>
      </c>
      <c r="AI215" s="63">
        <v>12.0</v>
      </c>
      <c r="AL215" s="63">
        <v>7.0</v>
      </c>
      <c r="AP215" s="63">
        <v>15.0</v>
      </c>
      <c r="AT215" s="63">
        <v>1.0</v>
      </c>
      <c r="BB215" s="63">
        <v>1.0</v>
      </c>
      <c r="BK215" s="63">
        <v>6.0</v>
      </c>
      <c r="BM215" s="64"/>
      <c r="FG215" s="63">
        <v>2.0</v>
      </c>
      <c r="FP215" s="63">
        <v>2.0</v>
      </c>
      <c r="GA215" s="63">
        <v>300.0</v>
      </c>
    </row>
    <row r="216" ht="15.75" customHeight="1">
      <c r="A216" s="63" t="s">
        <v>918</v>
      </c>
      <c r="B216" s="63" t="s">
        <v>919</v>
      </c>
      <c r="C216" s="63" t="s">
        <v>920</v>
      </c>
      <c r="D216" s="63">
        <v>80205.0</v>
      </c>
      <c r="E216" s="63" t="s">
        <v>421</v>
      </c>
      <c r="G216" s="63">
        <v>9.0</v>
      </c>
      <c r="I216" s="63">
        <v>23.0</v>
      </c>
      <c r="K216" s="63">
        <v>4.0</v>
      </c>
      <c r="L216" s="63">
        <v>36.0</v>
      </c>
      <c r="N216" s="63">
        <v>44.0</v>
      </c>
      <c r="O216" s="63">
        <v>1.0</v>
      </c>
      <c r="P216" s="63">
        <v>3.0</v>
      </c>
      <c r="Q216" s="63">
        <v>3.0</v>
      </c>
      <c r="U216" s="63">
        <v>3.0</v>
      </c>
      <c r="W216" s="64"/>
      <c r="X216" s="63">
        <v>18.0</v>
      </c>
      <c r="Z216" s="63">
        <v>1.0</v>
      </c>
      <c r="AB216" s="63">
        <v>10.0</v>
      </c>
      <c r="AE216" s="63">
        <v>4.0</v>
      </c>
      <c r="AG216" s="63">
        <v>6.0</v>
      </c>
      <c r="AQ216" s="63">
        <v>9.0</v>
      </c>
      <c r="BM216" s="64"/>
    </row>
    <row r="217" ht="15.75" customHeight="1">
      <c r="A217" s="63" t="s">
        <v>921</v>
      </c>
      <c r="B217" s="63" t="s">
        <v>922</v>
      </c>
      <c r="C217" s="63" t="s">
        <v>923</v>
      </c>
      <c r="D217" s="63">
        <v>80020.0</v>
      </c>
      <c r="E217" s="63" t="s">
        <v>444</v>
      </c>
      <c r="G217" s="63">
        <v>2.0</v>
      </c>
      <c r="H217" s="63">
        <v>3.0</v>
      </c>
      <c r="I217" s="63">
        <v>12.0</v>
      </c>
      <c r="K217" s="63">
        <v>6.0</v>
      </c>
      <c r="L217" s="63">
        <v>36.0</v>
      </c>
      <c r="N217" s="63">
        <v>34.0</v>
      </c>
      <c r="P217" s="63">
        <v>1.0</v>
      </c>
      <c r="S217" s="63">
        <v>1.0</v>
      </c>
      <c r="U217" s="63">
        <v>4.0</v>
      </c>
      <c r="W217" s="64"/>
      <c r="X217" s="63">
        <v>19.0</v>
      </c>
      <c r="Z217" s="63">
        <v>10.0</v>
      </c>
      <c r="AD217" s="63">
        <v>8.0</v>
      </c>
      <c r="AE217" s="63">
        <v>8.0</v>
      </c>
      <c r="AG217" s="63">
        <v>20.0</v>
      </c>
      <c r="AL217" s="63">
        <v>2.0</v>
      </c>
      <c r="AQ217" s="63">
        <v>4.0</v>
      </c>
      <c r="BM217" s="64"/>
    </row>
    <row r="218" ht="15.75" customHeight="1">
      <c r="A218" s="63" t="s">
        <v>924</v>
      </c>
      <c r="B218" s="63" t="s">
        <v>925</v>
      </c>
      <c r="C218" s="63" t="s">
        <v>926</v>
      </c>
      <c r="D218" s="63">
        <v>81052.0</v>
      </c>
      <c r="E218" s="63" t="s">
        <v>395</v>
      </c>
      <c r="F218" s="63">
        <v>3.0</v>
      </c>
      <c r="G218" s="63">
        <v>3.0</v>
      </c>
      <c r="H218" s="63">
        <v>10.0</v>
      </c>
      <c r="I218" s="63">
        <v>71.0</v>
      </c>
      <c r="K218" s="63">
        <v>48.0</v>
      </c>
      <c r="M218" s="63">
        <v>5.0</v>
      </c>
      <c r="N218" s="63">
        <v>37.0</v>
      </c>
      <c r="O218" s="63">
        <v>3.0</v>
      </c>
      <c r="P218" s="63">
        <v>95.0</v>
      </c>
      <c r="V218" s="63">
        <v>1.0</v>
      </c>
      <c r="W218" s="64">
        <v>1.0</v>
      </c>
      <c r="X218" s="63">
        <v>1.0</v>
      </c>
      <c r="Y218" s="63">
        <v>4.0</v>
      </c>
      <c r="Z218" s="63">
        <v>4.0</v>
      </c>
      <c r="AA218" s="63">
        <v>12.0</v>
      </c>
      <c r="AB218" s="63">
        <v>153.0</v>
      </c>
      <c r="AD218" s="63">
        <v>9.0</v>
      </c>
      <c r="AF218" s="63">
        <v>4.0</v>
      </c>
      <c r="AG218" s="63">
        <v>84.0</v>
      </c>
      <c r="AH218" s="63">
        <v>1.0</v>
      </c>
      <c r="AI218" s="63">
        <v>92.0</v>
      </c>
      <c r="AL218" s="63">
        <v>1.0</v>
      </c>
      <c r="AP218" s="63">
        <v>4.0</v>
      </c>
      <c r="AQ218" s="63">
        <v>4.0</v>
      </c>
      <c r="AT218" s="63">
        <v>4.0</v>
      </c>
      <c r="AU218" s="63">
        <v>19.0</v>
      </c>
      <c r="AZ218" s="63">
        <v>4.0</v>
      </c>
      <c r="BB218" s="63">
        <v>19.0</v>
      </c>
      <c r="BK218" s="63">
        <v>45.0</v>
      </c>
      <c r="BM218" s="64"/>
      <c r="BN218" s="63">
        <v>8.0</v>
      </c>
      <c r="BO218" s="63">
        <v>30.0</v>
      </c>
      <c r="BT218" s="63">
        <v>8.0</v>
      </c>
      <c r="BV218" s="63">
        <v>30.0</v>
      </c>
    </row>
    <row r="219" ht="15.75" customHeight="1">
      <c r="A219" s="63" t="s">
        <v>927</v>
      </c>
      <c r="B219" s="63" t="s">
        <v>928</v>
      </c>
      <c r="C219" s="63" t="s">
        <v>929</v>
      </c>
      <c r="D219" s="63">
        <v>81432.0</v>
      </c>
      <c r="E219" s="63" t="s">
        <v>930</v>
      </c>
      <c r="F219" s="63">
        <v>17.0</v>
      </c>
      <c r="H219" s="63">
        <v>87.0</v>
      </c>
      <c r="I219" s="63">
        <v>35.0</v>
      </c>
      <c r="K219" s="63">
        <v>48.0</v>
      </c>
      <c r="L219" s="63">
        <v>25.0</v>
      </c>
      <c r="M219" s="63">
        <v>2.0</v>
      </c>
      <c r="N219" s="63">
        <v>142.0</v>
      </c>
      <c r="O219" s="63">
        <v>55.0</v>
      </c>
      <c r="P219" s="63">
        <v>3.0</v>
      </c>
      <c r="S219" s="63">
        <v>2.0</v>
      </c>
      <c r="U219" s="63">
        <v>3.0</v>
      </c>
      <c r="W219" s="64">
        <v>9.0</v>
      </c>
      <c r="Y219" s="63">
        <v>1.0</v>
      </c>
      <c r="AA219" s="63">
        <v>8.0</v>
      </c>
      <c r="AB219" s="63">
        <v>6.0</v>
      </c>
      <c r="AD219" s="63">
        <v>35.0</v>
      </c>
      <c r="AE219" s="63">
        <v>3.0</v>
      </c>
      <c r="AG219" s="63">
        <v>49.0</v>
      </c>
      <c r="AI219" s="63">
        <v>1.0</v>
      </c>
      <c r="AL219" s="63">
        <v>1.0</v>
      </c>
      <c r="AP219" s="63">
        <v>2.0</v>
      </c>
      <c r="AR219" s="63">
        <v>28.0</v>
      </c>
      <c r="AT219" s="63">
        <v>51.0</v>
      </c>
      <c r="AU219" s="63">
        <v>26.0</v>
      </c>
      <c r="AW219" s="63">
        <v>3.0</v>
      </c>
      <c r="AZ219" s="63">
        <v>57.0</v>
      </c>
      <c r="BA219" s="63">
        <v>5.0</v>
      </c>
      <c r="BE219" s="63">
        <v>3.0</v>
      </c>
      <c r="BI219" s="63">
        <v>43.0</v>
      </c>
      <c r="BK219" s="63">
        <v>70.0</v>
      </c>
      <c r="BL219" s="63">
        <v>5.0</v>
      </c>
      <c r="BM219" s="64"/>
      <c r="BN219" s="63">
        <v>53.0</v>
      </c>
      <c r="BO219" s="63">
        <v>8.0</v>
      </c>
      <c r="BQ219" s="63">
        <v>12.0</v>
      </c>
      <c r="BT219" s="63">
        <v>67.0</v>
      </c>
      <c r="BY219" s="63">
        <v>7.0</v>
      </c>
      <c r="CA219" s="63">
        <v>1.0</v>
      </c>
      <c r="CC219" s="63">
        <v>3.0</v>
      </c>
    </row>
    <row r="220" ht="15.75" customHeight="1">
      <c r="A220" s="63" t="s">
        <v>931</v>
      </c>
      <c r="B220" s="63" t="s">
        <v>932</v>
      </c>
      <c r="C220" s="63" t="s">
        <v>933</v>
      </c>
      <c r="D220" s="63">
        <v>80121.0</v>
      </c>
      <c r="E220" s="63" t="s">
        <v>350</v>
      </c>
      <c r="F220" s="63">
        <v>14.0</v>
      </c>
      <c r="G220" s="63">
        <v>14.0</v>
      </c>
      <c r="H220" s="63">
        <v>2.0</v>
      </c>
      <c r="I220" s="63">
        <v>12.0</v>
      </c>
      <c r="K220" s="63">
        <v>9.0</v>
      </c>
      <c r="L220" s="63">
        <v>4.0</v>
      </c>
      <c r="M220" s="63">
        <v>1.0</v>
      </c>
      <c r="N220" s="63">
        <v>25.0</v>
      </c>
      <c r="W220" s="64">
        <v>16.0</v>
      </c>
      <c r="X220" s="63">
        <v>16.0</v>
      </c>
      <c r="Y220" s="63">
        <v>1.0</v>
      </c>
      <c r="Z220" s="63">
        <v>1.0</v>
      </c>
      <c r="AG220" s="63">
        <v>1.0</v>
      </c>
      <c r="BM220" s="64"/>
    </row>
    <row r="221" ht="15.75" customHeight="1">
      <c r="A221" s="63" t="s">
        <v>934</v>
      </c>
      <c r="B221" s="63" t="s">
        <v>935</v>
      </c>
      <c r="C221" s="63" t="s">
        <v>936</v>
      </c>
      <c r="D221" s="63">
        <v>80113.0</v>
      </c>
      <c r="E221" s="63" t="s">
        <v>350</v>
      </c>
      <c r="F221" s="63">
        <v>59.0</v>
      </c>
      <c r="H221" s="63">
        <v>59.0</v>
      </c>
      <c r="N221" s="63">
        <v>1.0</v>
      </c>
      <c r="P221" s="63">
        <v>58.0</v>
      </c>
      <c r="W221" s="64"/>
      <c r="Y221" s="63">
        <v>78.0</v>
      </c>
      <c r="Z221" s="63">
        <v>7.0</v>
      </c>
      <c r="AA221" s="63">
        <v>78.0</v>
      </c>
      <c r="AG221" s="63">
        <v>7.0</v>
      </c>
      <c r="AI221" s="63">
        <v>71.0</v>
      </c>
      <c r="AL221" s="63">
        <v>1.0</v>
      </c>
      <c r="AQ221" s="63">
        <v>2.0</v>
      </c>
      <c r="AR221" s="63">
        <v>15.0</v>
      </c>
      <c r="AT221" s="63">
        <v>15.0</v>
      </c>
      <c r="BB221" s="63">
        <v>15.0</v>
      </c>
      <c r="BK221" s="63">
        <v>1.0</v>
      </c>
      <c r="BL221" s="63">
        <v>13.0</v>
      </c>
      <c r="BM221" s="64">
        <v>5.0</v>
      </c>
      <c r="BN221" s="63">
        <v>5.0</v>
      </c>
      <c r="BT221" s="63">
        <v>12.0</v>
      </c>
      <c r="BV221" s="63">
        <v>6.0</v>
      </c>
    </row>
    <row r="222" ht="15.75" customHeight="1">
      <c r="A222" s="63" t="s">
        <v>937</v>
      </c>
      <c r="B222" s="63" t="s">
        <v>938</v>
      </c>
      <c r="C222" s="63" t="s">
        <v>939</v>
      </c>
      <c r="D222" s="63">
        <v>80908.0</v>
      </c>
      <c r="E222" s="63" t="s">
        <v>243</v>
      </c>
      <c r="F222" s="63">
        <v>5.0</v>
      </c>
      <c r="H222" s="63">
        <v>1.0</v>
      </c>
      <c r="I222" s="63">
        <v>3.0</v>
      </c>
      <c r="K222" s="63">
        <v>8.0</v>
      </c>
      <c r="L222" s="63">
        <v>16.0</v>
      </c>
      <c r="N222" s="63">
        <v>25.0</v>
      </c>
      <c r="W222" s="64">
        <v>6.0</v>
      </c>
      <c r="AE222" s="63">
        <v>3.0</v>
      </c>
      <c r="AG222" s="63">
        <v>3.0</v>
      </c>
      <c r="AR222" s="63">
        <v>5.0</v>
      </c>
      <c r="AU222" s="63">
        <v>3.0</v>
      </c>
      <c r="BA222" s="63">
        <v>2.0</v>
      </c>
      <c r="BI222" s="63">
        <v>6.0</v>
      </c>
      <c r="BK222" s="63">
        <v>365.0</v>
      </c>
      <c r="BM222" s="64"/>
      <c r="CE222" s="63">
        <v>1.0</v>
      </c>
      <c r="CH222" s="63">
        <v>4.0</v>
      </c>
      <c r="CR222" s="63">
        <v>2.0</v>
      </c>
      <c r="CV222" s="63">
        <v>3.0</v>
      </c>
      <c r="CX222" s="63">
        <v>365.0</v>
      </c>
      <c r="EP222" s="63">
        <v>3.0</v>
      </c>
      <c r="EU222" s="63">
        <v>1.0</v>
      </c>
      <c r="FD222" s="63">
        <v>2.0</v>
      </c>
      <c r="FF222" s="63">
        <v>60.0</v>
      </c>
      <c r="FG222" s="63">
        <v>32.0</v>
      </c>
      <c r="FH222" s="63">
        <v>4.0</v>
      </c>
      <c r="FK222" s="63">
        <v>18.0</v>
      </c>
      <c r="FP222" s="63">
        <v>8.0</v>
      </c>
      <c r="FU222" s="63">
        <v>4.0</v>
      </c>
      <c r="FY222" s="63">
        <v>28.0</v>
      </c>
      <c r="FZ222" s="63">
        <v>4.0</v>
      </c>
      <c r="GA222" s="63">
        <v>300.0</v>
      </c>
    </row>
    <row r="223" ht="15.75" customHeight="1">
      <c r="A223" s="63" t="s">
        <v>940</v>
      </c>
      <c r="B223" s="63" t="s">
        <v>941</v>
      </c>
      <c r="C223" s="63" t="s">
        <v>942</v>
      </c>
      <c r="D223" s="63">
        <v>81005.0</v>
      </c>
      <c r="E223" s="63" t="s">
        <v>822</v>
      </c>
      <c r="F223" s="63">
        <v>12.0</v>
      </c>
      <c r="H223" s="63">
        <v>17.0</v>
      </c>
      <c r="I223" s="63">
        <v>15.0</v>
      </c>
      <c r="L223" s="63">
        <v>1.0</v>
      </c>
      <c r="M223" s="63">
        <v>0.0</v>
      </c>
      <c r="N223" s="63">
        <v>35.0</v>
      </c>
      <c r="O223" s="63">
        <v>2.0</v>
      </c>
      <c r="W223" s="64">
        <v>8.0</v>
      </c>
      <c r="AA223" s="63">
        <v>3.0</v>
      </c>
      <c r="AB223" s="63">
        <v>7.0</v>
      </c>
      <c r="AG223" s="63">
        <v>8.0</v>
      </c>
      <c r="AL223" s="63">
        <v>2.0</v>
      </c>
      <c r="AR223" s="63">
        <v>36.0</v>
      </c>
      <c r="AT223" s="63">
        <v>93.0</v>
      </c>
      <c r="AU223" s="63">
        <v>70.0</v>
      </c>
      <c r="AW223" s="63">
        <v>13.0</v>
      </c>
      <c r="AX223" s="63">
        <v>3.0</v>
      </c>
      <c r="AZ223" s="63">
        <v>172.0</v>
      </c>
      <c r="BE223" s="63">
        <v>12.0</v>
      </c>
      <c r="BI223" s="63">
        <v>31.0</v>
      </c>
      <c r="BK223" s="63">
        <v>16.0</v>
      </c>
      <c r="BL223" s="63">
        <v>25.0</v>
      </c>
      <c r="BM223" s="64"/>
      <c r="BN223" s="63">
        <v>168.0</v>
      </c>
      <c r="BO223" s="63">
        <v>46.0</v>
      </c>
      <c r="BQ223" s="63">
        <v>25.0</v>
      </c>
      <c r="BT223" s="63">
        <v>214.0</v>
      </c>
      <c r="BY223" s="63">
        <v>26.0</v>
      </c>
      <c r="CC223" s="63">
        <v>24.0</v>
      </c>
    </row>
    <row r="224" ht="15.75" customHeight="1">
      <c r="A224" s="63" t="s">
        <v>943</v>
      </c>
      <c r="B224" s="63" t="s">
        <v>944</v>
      </c>
      <c r="C224" s="63" t="s">
        <v>945</v>
      </c>
      <c r="D224" s="63">
        <v>80443.0</v>
      </c>
      <c r="E224" s="63" t="s">
        <v>283</v>
      </c>
      <c r="F224" s="63">
        <v>11.0</v>
      </c>
      <c r="H224" s="63">
        <v>137.0</v>
      </c>
      <c r="I224" s="63">
        <v>30.0</v>
      </c>
      <c r="K224" s="63">
        <v>64.0</v>
      </c>
      <c r="L224" s="63">
        <v>81.0</v>
      </c>
      <c r="M224" s="63">
        <v>60.0</v>
      </c>
      <c r="N224" s="63">
        <v>215.0</v>
      </c>
      <c r="O224" s="63">
        <v>152.0</v>
      </c>
      <c r="P224" s="63">
        <v>3.0</v>
      </c>
      <c r="U224" s="63">
        <v>4.0</v>
      </c>
      <c r="W224" s="64">
        <v>15.0</v>
      </c>
      <c r="Y224" s="63">
        <v>13.0</v>
      </c>
      <c r="AA224" s="63">
        <v>4.0</v>
      </c>
      <c r="AB224" s="63">
        <v>3.0</v>
      </c>
      <c r="AD224" s="63">
        <v>3.0</v>
      </c>
      <c r="AE224" s="63">
        <v>30.0</v>
      </c>
      <c r="AF224" s="63">
        <v>2.0</v>
      </c>
      <c r="AG224" s="63">
        <v>46.0</v>
      </c>
      <c r="AH224" s="63">
        <v>1.0</v>
      </c>
      <c r="AI224" s="63">
        <v>1.0</v>
      </c>
      <c r="AL224" s="63">
        <v>1.0</v>
      </c>
      <c r="AR224" s="63">
        <v>20.0</v>
      </c>
      <c r="AT224" s="63">
        <v>24.0</v>
      </c>
      <c r="AU224" s="63">
        <v>29.0</v>
      </c>
      <c r="AW224" s="63">
        <v>37.0</v>
      </c>
      <c r="AX224" s="63">
        <v>8.0</v>
      </c>
      <c r="AY224" s="63">
        <v>17.0</v>
      </c>
      <c r="AZ224" s="63">
        <v>113.0</v>
      </c>
      <c r="BA224" s="63">
        <v>21.0</v>
      </c>
      <c r="BG224" s="63">
        <v>1.0</v>
      </c>
      <c r="BI224" s="63">
        <v>12.0</v>
      </c>
      <c r="BK224" s="63">
        <v>51.0</v>
      </c>
      <c r="BL224" s="63">
        <v>2.0</v>
      </c>
      <c r="BM224" s="64"/>
      <c r="BN224" s="63">
        <v>18.0</v>
      </c>
      <c r="BO224" s="63">
        <v>12.0</v>
      </c>
      <c r="BQ224" s="63">
        <v>23.0</v>
      </c>
      <c r="BR224" s="63">
        <v>19.0</v>
      </c>
      <c r="BT224" s="63">
        <v>54.0</v>
      </c>
      <c r="BU224" s="63">
        <v>4.0</v>
      </c>
      <c r="BY224" s="63">
        <v>1.0</v>
      </c>
      <c r="CA224" s="63">
        <v>1.0</v>
      </c>
      <c r="CC224" s="63">
        <v>2.0</v>
      </c>
      <c r="CG224" s="63">
        <v>1.0</v>
      </c>
      <c r="CR224" s="63">
        <v>1.0</v>
      </c>
      <c r="CX224" s="63">
        <v>2.0</v>
      </c>
      <c r="DA224" s="63">
        <v>1.0</v>
      </c>
      <c r="DB224" s="63">
        <v>3.0</v>
      </c>
      <c r="DF224" s="63">
        <v>2.0</v>
      </c>
      <c r="DG224" s="63">
        <v>1.0</v>
      </c>
      <c r="DH224" s="63">
        <v>1.0</v>
      </c>
      <c r="DI224" s="63">
        <v>3.0</v>
      </c>
      <c r="DL224" s="63">
        <v>1.0</v>
      </c>
      <c r="DR224" s="63">
        <v>40.0</v>
      </c>
      <c r="DS224" s="63">
        <v>1.0</v>
      </c>
      <c r="EC224" s="63">
        <v>1.0</v>
      </c>
      <c r="EL224" s="63">
        <v>15.0</v>
      </c>
      <c r="FJ224" s="63">
        <v>1.0</v>
      </c>
      <c r="FL224" s="63">
        <v>1.0</v>
      </c>
      <c r="FR224" s="63">
        <v>1.0</v>
      </c>
      <c r="FX224" s="63">
        <v>1.0</v>
      </c>
      <c r="GA224" s="63">
        <v>7.0</v>
      </c>
    </row>
    <row r="225" ht="15.75" customHeight="1">
      <c r="A225" s="63" t="s">
        <v>946</v>
      </c>
      <c r="B225" s="63" t="s">
        <v>947</v>
      </c>
      <c r="C225" s="63" t="s">
        <v>948</v>
      </c>
      <c r="D225" s="63">
        <v>80304.0</v>
      </c>
      <c r="E225" s="63" t="s">
        <v>279</v>
      </c>
      <c r="F225" s="63">
        <v>17.0</v>
      </c>
      <c r="G225" s="63">
        <v>17.0</v>
      </c>
      <c r="H225" s="63">
        <v>1.0</v>
      </c>
      <c r="I225" s="63">
        <v>13.0</v>
      </c>
      <c r="L225" s="63">
        <v>77.0</v>
      </c>
      <c r="M225" s="63">
        <v>1.0</v>
      </c>
      <c r="N225" s="63">
        <v>90.0</v>
      </c>
      <c r="S225" s="63">
        <v>1.0</v>
      </c>
      <c r="W225" s="64">
        <v>17.0</v>
      </c>
      <c r="X225" s="63">
        <v>17.0</v>
      </c>
      <c r="Y225" s="63">
        <v>1.0</v>
      </c>
      <c r="Z225" s="63">
        <v>1.0</v>
      </c>
      <c r="AE225" s="63">
        <v>12.0</v>
      </c>
      <c r="AG225" s="63">
        <v>13.0</v>
      </c>
      <c r="AP225" s="63">
        <v>4.0</v>
      </c>
      <c r="AQ225" s="63">
        <v>4.0</v>
      </c>
      <c r="AR225" s="63">
        <v>1.0</v>
      </c>
      <c r="AS225" s="63">
        <v>1.0</v>
      </c>
      <c r="AX225" s="63">
        <v>3.0</v>
      </c>
      <c r="AZ225" s="63">
        <v>4.0</v>
      </c>
      <c r="BK225" s="63">
        <v>92.0</v>
      </c>
      <c r="BM225" s="64"/>
      <c r="BR225" s="63">
        <v>9.0</v>
      </c>
      <c r="BT225" s="63">
        <v>9.0</v>
      </c>
    </row>
    <row r="226" ht="15.75" customHeight="1">
      <c r="A226" s="63" t="s">
        <v>949</v>
      </c>
      <c r="B226" s="63" t="s">
        <v>950</v>
      </c>
      <c r="C226" s="63" t="s">
        <v>951</v>
      </c>
      <c r="D226" s="63">
        <v>80305.0</v>
      </c>
      <c r="E226" s="63" t="s">
        <v>279</v>
      </c>
      <c r="I226" s="63">
        <v>1.0</v>
      </c>
      <c r="L226" s="63">
        <v>103.0</v>
      </c>
      <c r="N226" s="63">
        <v>102.0</v>
      </c>
      <c r="W226" s="64">
        <v>1.0</v>
      </c>
      <c r="X226" s="63">
        <v>1.0</v>
      </c>
      <c r="AE226" s="63">
        <v>174.0</v>
      </c>
      <c r="AG226" s="63">
        <v>167.0</v>
      </c>
      <c r="AP226" s="63">
        <v>7.0</v>
      </c>
      <c r="AQ226" s="63">
        <v>7.0</v>
      </c>
      <c r="BM226" s="64"/>
    </row>
    <row r="227" ht="15.75" customHeight="1">
      <c r="A227" s="63" t="s">
        <v>952</v>
      </c>
      <c r="B227" s="63" t="s">
        <v>953</v>
      </c>
      <c r="C227" s="63" t="s">
        <v>954</v>
      </c>
      <c r="D227" s="63">
        <v>81413.0</v>
      </c>
      <c r="E227" s="63" t="s">
        <v>323</v>
      </c>
      <c r="F227" s="63">
        <v>7.0</v>
      </c>
      <c r="H227" s="63">
        <v>85.0</v>
      </c>
      <c r="I227" s="63">
        <v>40.0</v>
      </c>
      <c r="K227" s="63">
        <v>9.0</v>
      </c>
      <c r="N227" s="63">
        <v>72.0</v>
      </c>
      <c r="O227" s="63">
        <v>60.0</v>
      </c>
      <c r="P227" s="63">
        <v>3.0</v>
      </c>
      <c r="W227" s="64">
        <v>6.0</v>
      </c>
      <c r="AA227" s="63">
        <v>3.0</v>
      </c>
      <c r="AB227" s="63">
        <v>6.0</v>
      </c>
      <c r="AG227" s="63">
        <v>7.0</v>
      </c>
      <c r="AH227" s="63">
        <v>2.0</v>
      </c>
      <c r="AR227" s="63">
        <v>20.0</v>
      </c>
      <c r="AT227" s="63">
        <v>10.0</v>
      </c>
      <c r="AU227" s="63">
        <v>35.0</v>
      </c>
      <c r="AZ227" s="63">
        <v>43.0</v>
      </c>
      <c r="BA227" s="63">
        <v>6.0</v>
      </c>
      <c r="BE227" s="63">
        <v>6.0</v>
      </c>
      <c r="BI227" s="63">
        <v>10.0</v>
      </c>
      <c r="BK227" s="63">
        <v>52.2</v>
      </c>
      <c r="BL227" s="63">
        <v>8.0</v>
      </c>
      <c r="BM227" s="64"/>
      <c r="BN227" s="63">
        <v>84.0</v>
      </c>
      <c r="BO227" s="63">
        <v>10.0</v>
      </c>
      <c r="BQ227" s="63">
        <v>4.0</v>
      </c>
      <c r="BT227" s="63">
        <v>80.0</v>
      </c>
      <c r="BY227" s="63">
        <v>7.0</v>
      </c>
      <c r="CC227" s="63">
        <v>19.0</v>
      </c>
    </row>
    <row r="228" ht="15.75" customHeight="1">
      <c r="A228" s="63" t="s">
        <v>955</v>
      </c>
      <c r="B228" s="63" t="s">
        <v>956</v>
      </c>
      <c r="C228" s="63" t="s">
        <v>957</v>
      </c>
      <c r="D228" s="63">
        <v>80814.0</v>
      </c>
      <c r="E228" s="63" t="s">
        <v>254</v>
      </c>
      <c r="F228" s="63">
        <v>12.0</v>
      </c>
      <c r="G228" s="63">
        <v>1.0</v>
      </c>
      <c r="H228" s="63">
        <v>348.0</v>
      </c>
      <c r="I228" s="63">
        <v>46.0</v>
      </c>
      <c r="K228" s="63">
        <v>19.0</v>
      </c>
      <c r="L228" s="63">
        <v>26.0</v>
      </c>
      <c r="M228" s="63">
        <v>22.0</v>
      </c>
      <c r="N228" s="63">
        <v>174.0</v>
      </c>
      <c r="O228" s="63">
        <v>266.0</v>
      </c>
      <c r="P228" s="63">
        <v>6.0</v>
      </c>
      <c r="U228" s="63">
        <v>8.0</v>
      </c>
      <c r="W228" s="64">
        <v>18.0</v>
      </c>
      <c r="X228" s="63">
        <v>2.0</v>
      </c>
      <c r="Y228" s="63">
        <v>7.0</v>
      </c>
      <c r="Z228" s="63">
        <v>8.0</v>
      </c>
      <c r="AA228" s="63">
        <v>19.0</v>
      </c>
      <c r="AB228" s="63">
        <v>15.0</v>
      </c>
      <c r="AD228" s="63">
        <v>21.0</v>
      </c>
      <c r="AE228" s="63">
        <v>11.0</v>
      </c>
      <c r="AF228" s="63">
        <v>4.0</v>
      </c>
      <c r="AG228" s="63">
        <v>74.0</v>
      </c>
      <c r="AH228" s="63">
        <v>5.0</v>
      </c>
      <c r="AI228" s="63">
        <v>1.0</v>
      </c>
      <c r="AL228" s="63">
        <v>5.0</v>
      </c>
      <c r="AR228" s="63">
        <v>15.0</v>
      </c>
      <c r="AS228" s="63">
        <v>6.0</v>
      </c>
      <c r="AT228" s="63">
        <v>52.0</v>
      </c>
      <c r="AU228" s="63">
        <v>62.0</v>
      </c>
      <c r="AW228" s="63">
        <v>6.0</v>
      </c>
      <c r="AY228" s="63">
        <v>12.0</v>
      </c>
      <c r="AZ228" s="63">
        <v>118.0</v>
      </c>
      <c r="BA228" s="63">
        <v>8.0</v>
      </c>
      <c r="BE228" s="63">
        <v>1.0</v>
      </c>
      <c r="BG228" s="63">
        <v>9.0</v>
      </c>
      <c r="BI228" s="63">
        <v>16.0</v>
      </c>
      <c r="BJ228" s="63">
        <v>1.0</v>
      </c>
      <c r="BK228" s="63">
        <v>47.0</v>
      </c>
      <c r="BM228" s="64">
        <v>1.0</v>
      </c>
      <c r="BN228" s="63">
        <v>19.0</v>
      </c>
      <c r="BO228" s="63">
        <v>58.0</v>
      </c>
      <c r="BQ228" s="63">
        <v>17.0</v>
      </c>
      <c r="BS228" s="63">
        <v>1.0</v>
      </c>
      <c r="BT228" s="63">
        <v>91.0</v>
      </c>
      <c r="BY228" s="63">
        <v>2.0</v>
      </c>
      <c r="CA228" s="63">
        <v>3.0</v>
      </c>
    </row>
    <row r="229" ht="15.75" customHeight="1">
      <c r="A229" s="64" t="s">
        <v>958</v>
      </c>
      <c r="B229" s="64" t="s">
        <v>959</v>
      </c>
      <c r="C229" s="64" t="s">
        <v>960</v>
      </c>
      <c r="D229" s="64">
        <v>80104.0</v>
      </c>
      <c r="E229" s="64" t="s">
        <v>235</v>
      </c>
      <c r="F229" s="64">
        <v>23.0</v>
      </c>
      <c r="G229" s="64"/>
      <c r="H229" s="64">
        <v>880.0</v>
      </c>
      <c r="I229" s="64">
        <v>747.0</v>
      </c>
      <c r="J229" s="64">
        <v>277.0</v>
      </c>
      <c r="K229" s="64">
        <v>53.0</v>
      </c>
      <c r="L229" s="64">
        <v>49.0</v>
      </c>
      <c r="M229" s="64">
        <v>13.0</v>
      </c>
      <c r="N229" s="64">
        <v>872.0</v>
      </c>
      <c r="O229" s="64">
        <v>730.0</v>
      </c>
      <c r="P229" s="64">
        <v>16.0</v>
      </c>
      <c r="Q229" s="64">
        <v>3.0</v>
      </c>
      <c r="R229" s="64"/>
      <c r="S229" s="64"/>
      <c r="T229" s="64"/>
      <c r="U229" s="64">
        <v>125.0</v>
      </c>
      <c r="V229" s="64">
        <v>277.0</v>
      </c>
      <c r="W229" s="64">
        <v>27.0</v>
      </c>
      <c r="X229" s="64">
        <v>1.0</v>
      </c>
      <c r="Y229" s="64">
        <v>1.0</v>
      </c>
      <c r="Z229" s="64"/>
      <c r="AA229" s="64">
        <v>27.0</v>
      </c>
      <c r="AB229" s="64">
        <v>28.0</v>
      </c>
      <c r="AC229" s="64"/>
      <c r="AD229" s="64">
        <v>14.0</v>
      </c>
      <c r="AE229" s="64">
        <v>5.0</v>
      </c>
      <c r="AF229" s="64"/>
      <c r="AG229" s="64">
        <v>66.0</v>
      </c>
      <c r="AH229" s="64">
        <v>18.0</v>
      </c>
      <c r="AI229" s="64"/>
      <c r="AJ229" s="64"/>
      <c r="AK229" s="64"/>
      <c r="AL229" s="64"/>
      <c r="AM229" s="64"/>
      <c r="AN229" s="64">
        <v>1.0</v>
      </c>
      <c r="AO229" s="64"/>
      <c r="AP229" s="64"/>
      <c r="AQ229" s="64"/>
      <c r="AR229" s="64">
        <v>58.0</v>
      </c>
      <c r="AS229" s="64"/>
      <c r="AT229" s="64">
        <v>352.0</v>
      </c>
      <c r="AU229" s="64">
        <v>666.0</v>
      </c>
      <c r="AV229" s="64">
        <v>87.0</v>
      </c>
      <c r="AW229" s="64">
        <v>6.0</v>
      </c>
      <c r="AX229" s="64"/>
      <c r="AY229" s="64">
        <v>1.0</v>
      </c>
      <c r="AZ229" s="64">
        <v>759.0</v>
      </c>
      <c r="BA229" s="64">
        <v>107.0</v>
      </c>
      <c r="BB229" s="64">
        <v>4.0</v>
      </c>
      <c r="BC229" s="64"/>
      <c r="BD229" s="64">
        <v>4.0</v>
      </c>
      <c r="BE229" s="64">
        <v>2.0</v>
      </c>
      <c r="BF229" s="64"/>
      <c r="BG229" s="64">
        <v>168.0</v>
      </c>
      <c r="BH229" s="64">
        <v>87.0</v>
      </c>
      <c r="BI229" s="64">
        <v>27.0</v>
      </c>
      <c r="BJ229" s="64"/>
      <c r="BK229" s="64">
        <v>15.43</v>
      </c>
      <c r="BL229" s="64">
        <v>2.0</v>
      </c>
      <c r="BM229" s="64"/>
      <c r="BN229" s="64">
        <v>99.0</v>
      </c>
      <c r="BO229" s="64">
        <v>254.0</v>
      </c>
      <c r="BP229" s="64"/>
      <c r="BQ229" s="64">
        <v>2.0</v>
      </c>
      <c r="BR229" s="64"/>
      <c r="BS229" s="64"/>
      <c r="BT229" s="64">
        <v>428.0</v>
      </c>
      <c r="BU229" s="64">
        <v>4.0</v>
      </c>
      <c r="BV229" s="64"/>
      <c r="BW229" s="64"/>
      <c r="BX229" s="64"/>
      <c r="BY229" s="64">
        <v>9.0</v>
      </c>
      <c r="BZ229" s="64"/>
      <c r="CA229" s="64">
        <v>20.0</v>
      </c>
      <c r="CB229" s="64"/>
      <c r="CC229" s="64">
        <v>1.0</v>
      </c>
      <c r="CD229" s="64">
        <v>4.0</v>
      </c>
      <c r="CE229" s="64"/>
      <c r="CF229" s="64"/>
      <c r="CG229" s="64">
        <v>4.0</v>
      </c>
      <c r="CH229" s="64">
        <v>15.0</v>
      </c>
      <c r="CI229" s="64"/>
      <c r="CJ229" s="64"/>
      <c r="CK229" s="64"/>
      <c r="CL229" s="64">
        <v>3.0</v>
      </c>
      <c r="CM229" s="64">
        <v>3.0</v>
      </c>
      <c r="CN229" s="64">
        <v>3.0</v>
      </c>
      <c r="CO229" s="64">
        <v>14.0</v>
      </c>
      <c r="CP229" s="64"/>
      <c r="CQ229" s="64"/>
      <c r="CR229" s="64"/>
      <c r="CS229" s="64"/>
      <c r="CT229" s="64">
        <v>2.0</v>
      </c>
      <c r="CU229" s="64"/>
      <c r="CV229" s="64"/>
      <c r="CW229" s="64"/>
      <c r="CX229" s="64">
        <v>5.23</v>
      </c>
      <c r="CY229" s="64">
        <v>2.0</v>
      </c>
      <c r="CZ229" s="64"/>
      <c r="DA229" s="64">
        <v>10.0</v>
      </c>
      <c r="DB229" s="64">
        <v>210.0</v>
      </c>
      <c r="DC229" s="64">
        <v>9.0</v>
      </c>
      <c r="DD229" s="64">
        <v>9.0</v>
      </c>
      <c r="DE229" s="64"/>
      <c r="DF229" s="64"/>
      <c r="DG229" s="64">
        <v>196.0</v>
      </c>
      <c r="DH229" s="64">
        <v>2.0</v>
      </c>
      <c r="DI229" s="64">
        <v>27.0</v>
      </c>
      <c r="DJ229" s="64"/>
      <c r="DK229" s="64"/>
      <c r="DL229" s="64">
        <v>1.0</v>
      </c>
      <c r="DM229" s="64"/>
      <c r="DN229" s="64">
        <v>34.0</v>
      </c>
      <c r="DO229" s="64">
        <v>9.0</v>
      </c>
      <c r="DP229" s="64"/>
      <c r="DQ229" s="64"/>
      <c r="DR229" s="64">
        <v>20.7</v>
      </c>
      <c r="DS229" s="64"/>
      <c r="DT229" s="64"/>
      <c r="DU229" s="64">
        <v>3.0</v>
      </c>
      <c r="DV229" s="64">
        <v>10.0</v>
      </c>
      <c r="DW229" s="64"/>
      <c r="DX229" s="64"/>
      <c r="DY229" s="64"/>
      <c r="DZ229" s="64"/>
      <c r="EA229" s="64">
        <v>4.0</v>
      </c>
      <c r="EB229" s="64"/>
      <c r="EC229" s="64">
        <v>9.0</v>
      </c>
      <c r="ED229" s="64"/>
      <c r="EE229" s="64"/>
      <c r="EF229" s="64"/>
      <c r="EG229" s="64"/>
      <c r="EH229" s="64"/>
      <c r="EI229" s="64"/>
      <c r="EJ229" s="64"/>
      <c r="EK229" s="64"/>
      <c r="EL229" s="64">
        <v>8.1</v>
      </c>
      <c r="EM229" s="64"/>
      <c r="EN229" s="64"/>
      <c r="EO229" s="64">
        <v>39.0</v>
      </c>
      <c r="EP229" s="64">
        <v>41.0</v>
      </c>
      <c r="EQ229" s="64">
        <v>3.0</v>
      </c>
      <c r="ER229" s="64">
        <v>2.0</v>
      </c>
      <c r="ES229" s="64"/>
      <c r="ET229" s="64"/>
      <c r="EU229" s="64">
        <v>48.0</v>
      </c>
      <c r="EV229" s="64"/>
      <c r="EW229" s="64"/>
      <c r="EX229" s="64"/>
      <c r="EY229" s="64"/>
      <c r="EZ229" s="64">
        <v>1.0</v>
      </c>
      <c r="FA229" s="64"/>
      <c r="FB229" s="64">
        <v>3.0</v>
      </c>
      <c r="FC229" s="64">
        <v>3.0</v>
      </c>
      <c r="FD229" s="64"/>
      <c r="FE229" s="64"/>
      <c r="FF229" s="64">
        <v>16.0</v>
      </c>
      <c r="FG229" s="64"/>
      <c r="FH229" s="64"/>
      <c r="FI229" s="64"/>
      <c r="FJ229" s="64">
        <v>5.0</v>
      </c>
      <c r="FK229" s="64">
        <v>1.0</v>
      </c>
      <c r="FL229" s="64"/>
      <c r="FM229" s="64"/>
      <c r="FN229" s="64"/>
      <c r="FO229" s="64"/>
      <c r="FP229" s="64">
        <v>1.0</v>
      </c>
      <c r="FQ229" s="64"/>
      <c r="FR229" s="64"/>
      <c r="FS229" s="64"/>
      <c r="FT229" s="64"/>
      <c r="FU229" s="64"/>
      <c r="FV229" s="64"/>
      <c r="FW229" s="64">
        <v>5.0</v>
      </c>
      <c r="FX229" s="64"/>
      <c r="FY229" s="64">
        <v>2.0</v>
      </c>
      <c r="FZ229" s="64"/>
      <c r="GA229" s="64">
        <v>1.0</v>
      </c>
    </row>
    <row r="230" ht="15.75" customHeight="1">
      <c r="A230" s="63" t="s">
        <v>961</v>
      </c>
      <c r="B230" s="63" t="s">
        <v>962</v>
      </c>
      <c r="C230" s="63" t="s">
        <v>963</v>
      </c>
      <c r="D230" s="63">
        <v>80107.0</v>
      </c>
      <c r="E230" s="63" t="s">
        <v>313</v>
      </c>
      <c r="W230" s="64"/>
      <c r="BM230" s="64"/>
      <c r="CE230" s="63">
        <v>562.0</v>
      </c>
      <c r="CG230" s="63">
        <v>13.0</v>
      </c>
      <c r="CH230" s="63">
        <v>25.0</v>
      </c>
      <c r="CJ230" s="63">
        <v>12.0</v>
      </c>
      <c r="CK230" s="63">
        <v>14.0</v>
      </c>
      <c r="CL230" s="63">
        <v>10.0</v>
      </c>
      <c r="CM230" s="63">
        <v>44.0</v>
      </c>
      <c r="CN230" s="63">
        <v>3.0</v>
      </c>
      <c r="CQ230" s="63">
        <v>2.0</v>
      </c>
      <c r="CR230" s="63">
        <v>33.0</v>
      </c>
      <c r="CT230" s="63">
        <v>3.0</v>
      </c>
      <c r="CV230" s="63">
        <v>551.0</v>
      </c>
      <c r="FG230" s="63">
        <v>13.0</v>
      </c>
      <c r="FY230" s="63">
        <v>13.0</v>
      </c>
      <c r="GA230" s="63">
        <v>365.0</v>
      </c>
    </row>
    <row r="231" ht="15.75" customHeight="1">
      <c r="A231" s="63" t="s">
        <v>964</v>
      </c>
      <c r="B231" s="63" t="s">
        <v>962</v>
      </c>
      <c r="C231" s="63" t="s">
        <v>965</v>
      </c>
      <c r="D231" s="63">
        <v>80204.0</v>
      </c>
      <c r="E231" s="63" t="s">
        <v>421</v>
      </c>
      <c r="W231" s="64"/>
      <c r="BM231" s="64"/>
      <c r="CE231" s="63">
        <v>368.0</v>
      </c>
      <c r="CG231" s="63">
        <v>4.0</v>
      </c>
      <c r="CH231" s="63">
        <v>43.0</v>
      </c>
      <c r="CJ231" s="63">
        <v>11.0</v>
      </c>
      <c r="CK231" s="63">
        <v>5.0</v>
      </c>
      <c r="CL231" s="63">
        <v>6.0</v>
      </c>
      <c r="CM231" s="63">
        <v>116.0</v>
      </c>
      <c r="CN231" s="63">
        <v>15.0</v>
      </c>
      <c r="CR231" s="63">
        <v>50.0</v>
      </c>
      <c r="CS231" s="63">
        <v>11.0</v>
      </c>
      <c r="CT231" s="63">
        <v>30.0</v>
      </c>
      <c r="CV231" s="63">
        <v>215.0</v>
      </c>
      <c r="CX231" s="63">
        <v>185.0</v>
      </c>
    </row>
    <row r="232" ht="15.75" customHeight="1">
      <c r="A232" s="63" t="s">
        <v>966</v>
      </c>
      <c r="B232" s="63" t="s">
        <v>967</v>
      </c>
      <c r="C232" s="63" t="s">
        <v>968</v>
      </c>
      <c r="D232" s="63">
        <v>80911.0</v>
      </c>
      <c r="E232" s="63" t="s">
        <v>243</v>
      </c>
      <c r="F232" s="63">
        <v>8.0</v>
      </c>
      <c r="G232" s="63">
        <v>5.0</v>
      </c>
      <c r="H232" s="63">
        <v>5.0</v>
      </c>
      <c r="I232" s="63">
        <v>36.0</v>
      </c>
      <c r="K232" s="63">
        <v>22.0</v>
      </c>
      <c r="L232" s="63">
        <v>31.0</v>
      </c>
      <c r="M232" s="63">
        <v>3.0</v>
      </c>
      <c r="N232" s="63">
        <v>89.0</v>
      </c>
      <c r="W232" s="64">
        <v>20.0</v>
      </c>
      <c r="X232" s="63">
        <v>17.0</v>
      </c>
      <c r="AE232" s="63">
        <v>10.0</v>
      </c>
      <c r="AF232" s="63">
        <v>3.0</v>
      </c>
      <c r="AG232" s="63">
        <v>7.0</v>
      </c>
      <c r="AP232" s="63">
        <v>3.0</v>
      </c>
      <c r="AQ232" s="63">
        <v>3.0</v>
      </c>
      <c r="BM232" s="64"/>
    </row>
    <row r="233" ht="15.75" customHeight="1">
      <c r="A233" s="63" t="s">
        <v>969</v>
      </c>
      <c r="B233" s="63" t="s">
        <v>970</v>
      </c>
      <c r="C233" s="63" t="s">
        <v>971</v>
      </c>
      <c r="D233" s="63">
        <v>80521.0</v>
      </c>
      <c r="E233" s="63" t="s">
        <v>275</v>
      </c>
      <c r="F233" s="63">
        <v>5.0</v>
      </c>
      <c r="G233" s="63">
        <v>5.0</v>
      </c>
      <c r="L233" s="63">
        <v>36.0</v>
      </c>
      <c r="N233" s="63">
        <v>31.0</v>
      </c>
      <c r="P233" s="63">
        <v>5.0</v>
      </c>
      <c r="U233" s="63">
        <v>1.0</v>
      </c>
      <c r="W233" s="64">
        <v>4.0</v>
      </c>
      <c r="X233" s="63">
        <v>4.0</v>
      </c>
      <c r="AE233" s="63">
        <v>22.0</v>
      </c>
      <c r="AG233" s="63">
        <v>22.0</v>
      </c>
      <c r="AU233" s="63">
        <v>1.0</v>
      </c>
      <c r="BB233" s="63">
        <v>1.0</v>
      </c>
      <c r="BK233" s="63">
        <v>1.0</v>
      </c>
      <c r="BM233" s="64"/>
      <c r="BO233" s="63">
        <v>11.0</v>
      </c>
      <c r="BT233" s="63">
        <v>1.0</v>
      </c>
      <c r="BV233" s="63">
        <v>10.0</v>
      </c>
    </row>
    <row r="234" ht="15.75" customHeight="1">
      <c r="A234" s="63" t="s">
        <v>972</v>
      </c>
      <c r="B234" s="63" t="s">
        <v>973</v>
      </c>
      <c r="C234" s="63" t="s">
        <v>974</v>
      </c>
      <c r="D234" s="63">
        <v>80720.0</v>
      </c>
      <c r="E234" s="63" t="s">
        <v>975</v>
      </c>
      <c r="H234" s="63">
        <v>38.0</v>
      </c>
      <c r="I234" s="63">
        <v>6.0</v>
      </c>
      <c r="K234" s="63">
        <v>2.0</v>
      </c>
      <c r="M234" s="63">
        <v>7.0</v>
      </c>
      <c r="N234" s="63">
        <v>2.0</v>
      </c>
      <c r="O234" s="63">
        <v>39.0</v>
      </c>
      <c r="P234" s="63">
        <v>8.0</v>
      </c>
      <c r="T234" s="63">
        <v>3.0</v>
      </c>
      <c r="U234" s="63">
        <v>1.0</v>
      </c>
      <c r="W234" s="64">
        <v>53.0</v>
      </c>
      <c r="AA234" s="63">
        <v>2.0</v>
      </c>
      <c r="AH234" s="63">
        <v>2.0</v>
      </c>
      <c r="AP234" s="63">
        <v>2.0</v>
      </c>
      <c r="AT234" s="63">
        <v>12.0</v>
      </c>
      <c r="AU234" s="63">
        <v>1.0</v>
      </c>
      <c r="AY234" s="63">
        <v>1.0</v>
      </c>
      <c r="AZ234" s="63">
        <v>4.0</v>
      </c>
      <c r="BA234" s="63">
        <v>2.0</v>
      </c>
      <c r="BB234" s="63">
        <v>3.0</v>
      </c>
      <c r="BF234" s="63">
        <v>2.0</v>
      </c>
      <c r="BG234" s="63">
        <v>3.0</v>
      </c>
      <c r="BI234" s="63">
        <v>14.0</v>
      </c>
      <c r="BK234" s="63">
        <v>9.5</v>
      </c>
      <c r="BM234" s="64"/>
      <c r="BN234" s="63">
        <v>10.0</v>
      </c>
      <c r="BO234" s="63">
        <v>1.0</v>
      </c>
      <c r="BS234" s="63">
        <v>0.0</v>
      </c>
      <c r="BT234" s="63">
        <v>6.0</v>
      </c>
      <c r="BV234" s="63">
        <v>4.0</v>
      </c>
      <c r="BY234" s="63">
        <v>1.0</v>
      </c>
      <c r="CC234" s="63">
        <v>11.0</v>
      </c>
      <c r="CD234" s="63">
        <v>11.0</v>
      </c>
    </row>
    <row r="235" ht="15.75" customHeight="1">
      <c r="A235" s="63" t="s">
        <v>976</v>
      </c>
      <c r="B235" s="63" t="s">
        <v>977</v>
      </c>
      <c r="C235" s="63" t="s">
        <v>978</v>
      </c>
      <c r="D235" s="63">
        <v>80810.0</v>
      </c>
      <c r="E235" s="63" t="s">
        <v>979</v>
      </c>
      <c r="I235" s="63">
        <v>2.0</v>
      </c>
      <c r="O235" s="63">
        <v>7.0</v>
      </c>
      <c r="P235" s="63">
        <v>2.0</v>
      </c>
      <c r="R235" s="63">
        <v>9.0</v>
      </c>
      <c r="W235" s="64"/>
      <c r="AH235" s="63">
        <v>5.0</v>
      </c>
      <c r="AK235" s="63">
        <v>5.0</v>
      </c>
      <c r="BM235" s="64"/>
    </row>
    <row r="236" ht="15.75" customHeight="1">
      <c r="A236" s="63" t="s">
        <v>980</v>
      </c>
      <c r="B236" s="63" t="s">
        <v>981</v>
      </c>
      <c r="C236" s="63" t="s">
        <v>982</v>
      </c>
      <c r="D236" s="63">
        <v>81224.0</v>
      </c>
      <c r="E236" s="63" t="s">
        <v>384</v>
      </c>
      <c r="H236" s="63">
        <v>8.0</v>
      </c>
      <c r="O236" s="63">
        <v>8.0</v>
      </c>
      <c r="W236" s="64"/>
      <c r="BM236" s="64"/>
      <c r="DA236" s="63">
        <v>1.0</v>
      </c>
      <c r="DH236" s="63">
        <v>1.0</v>
      </c>
    </row>
    <row r="237" ht="15.75" customHeight="1">
      <c r="A237" s="63" t="s">
        <v>983</v>
      </c>
      <c r="B237" s="63" t="s">
        <v>984</v>
      </c>
      <c r="C237" s="63" t="s">
        <v>985</v>
      </c>
      <c r="D237" s="63">
        <v>81324.0</v>
      </c>
      <c r="E237" s="63" t="s">
        <v>986</v>
      </c>
      <c r="H237" s="63">
        <v>27.0</v>
      </c>
      <c r="W237" s="64"/>
      <c r="AT237" s="63">
        <v>223.0</v>
      </c>
      <c r="BE237" s="63">
        <v>30.0</v>
      </c>
      <c r="BG237" s="63">
        <v>193.0</v>
      </c>
      <c r="BM237" s="64"/>
    </row>
    <row r="238" ht="15.75" customHeight="1">
      <c r="A238" s="63" t="s">
        <v>987</v>
      </c>
      <c r="B238" s="63" t="s">
        <v>988</v>
      </c>
      <c r="C238" s="63" t="s">
        <v>989</v>
      </c>
      <c r="D238" s="63">
        <v>81036.0</v>
      </c>
      <c r="E238" s="63" t="s">
        <v>990</v>
      </c>
      <c r="H238" s="63">
        <v>2.0</v>
      </c>
      <c r="P238" s="63">
        <v>2.0</v>
      </c>
      <c r="W238" s="64">
        <v>2.0</v>
      </c>
      <c r="BM238" s="64"/>
    </row>
    <row r="239" ht="15.75" customHeight="1">
      <c r="A239" s="63" t="s">
        <v>991</v>
      </c>
      <c r="B239" s="63" t="s">
        <v>992</v>
      </c>
      <c r="C239" s="63" t="s">
        <v>993</v>
      </c>
      <c r="D239" s="63">
        <v>81055.0</v>
      </c>
      <c r="E239" s="63" t="s">
        <v>406</v>
      </c>
      <c r="W239" s="64"/>
      <c r="AI239" s="63">
        <v>1.0</v>
      </c>
      <c r="BM239" s="64"/>
    </row>
    <row r="240" ht="15.75" customHeight="1">
      <c r="A240" s="63" t="s">
        <v>994</v>
      </c>
      <c r="B240" s="63" t="s">
        <v>995</v>
      </c>
      <c r="C240" s="63" t="s">
        <v>996</v>
      </c>
      <c r="D240" s="63" t="s">
        <v>520</v>
      </c>
      <c r="E240" s="63" t="s">
        <v>997</v>
      </c>
      <c r="H240" s="63">
        <v>29.0</v>
      </c>
      <c r="M240" s="63">
        <v>9.0</v>
      </c>
      <c r="N240" s="63">
        <v>5.0</v>
      </c>
      <c r="O240" s="63">
        <v>33.0</v>
      </c>
      <c r="W240" s="64"/>
      <c r="AF240" s="63">
        <v>2.0</v>
      </c>
      <c r="AH240" s="63">
        <v>2.0</v>
      </c>
      <c r="BM240" s="64"/>
    </row>
    <row r="241" ht="15.75" customHeight="1">
      <c r="A241" s="63" t="s">
        <v>998</v>
      </c>
      <c r="B241" s="63" t="s">
        <v>999</v>
      </c>
      <c r="C241" s="63" t="s">
        <v>1000</v>
      </c>
      <c r="D241" s="63">
        <v>81641.0</v>
      </c>
      <c r="E241" s="63" t="s">
        <v>1001</v>
      </c>
      <c r="H241" s="63">
        <v>95.0</v>
      </c>
      <c r="I241" s="63">
        <v>18.0</v>
      </c>
      <c r="M241" s="63">
        <v>3.0</v>
      </c>
      <c r="N241" s="63">
        <v>18.0</v>
      </c>
      <c r="O241" s="63">
        <v>95.0</v>
      </c>
      <c r="P241" s="63">
        <v>2.0</v>
      </c>
      <c r="R241" s="63">
        <v>1.0</v>
      </c>
      <c r="W241" s="64"/>
      <c r="AA241" s="63">
        <v>2.0</v>
      </c>
      <c r="AP241" s="63">
        <v>2.0</v>
      </c>
      <c r="BM241" s="64"/>
    </row>
    <row r="242" ht="15.75" customHeight="1">
      <c r="A242" s="63" t="s">
        <v>1002</v>
      </c>
      <c r="B242" s="63" t="s">
        <v>1003</v>
      </c>
      <c r="C242" s="63" t="s">
        <v>1004</v>
      </c>
      <c r="D242" s="63">
        <v>81422.0</v>
      </c>
      <c r="E242" s="63" t="s">
        <v>399</v>
      </c>
      <c r="W242" s="64"/>
      <c r="BM242" s="64"/>
    </row>
    <row r="243" ht="15.75" customHeight="1">
      <c r="A243" s="63" t="s">
        <v>1005</v>
      </c>
      <c r="B243" s="63" t="s">
        <v>1006</v>
      </c>
      <c r="C243" s="63" t="s">
        <v>1007</v>
      </c>
      <c r="D243" s="63">
        <v>81648.0</v>
      </c>
      <c r="E243" s="63" t="s">
        <v>1001</v>
      </c>
      <c r="F243" s="63">
        <v>6.0</v>
      </c>
      <c r="G243" s="63">
        <v>2.0</v>
      </c>
      <c r="H243" s="63">
        <v>78.0</v>
      </c>
      <c r="I243" s="63">
        <v>10.0</v>
      </c>
      <c r="K243" s="63">
        <v>7.0</v>
      </c>
      <c r="L243" s="63">
        <v>91.0</v>
      </c>
      <c r="M243" s="63">
        <v>8.0</v>
      </c>
      <c r="N243" s="63">
        <v>67.0</v>
      </c>
      <c r="O243" s="63">
        <v>47.0</v>
      </c>
      <c r="P243" s="63">
        <v>30.0</v>
      </c>
      <c r="Q243" s="63">
        <v>7.0</v>
      </c>
      <c r="R243" s="63">
        <v>2.0</v>
      </c>
      <c r="S243" s="63">
        <v>2.0</v>
      </c>
      <c r="U243" s="63">
        <v>2.0</v>
      </c>
      <c r="W243" s="64">
        <v>7.0</v>
      </c>
      <c r="X243" s="63">
        <v>2.0</v>
      </c>
      <c r="Y243" s="63">
        <v>5.0</v>
      </c>
      <c r="Z243" s="63">
        <v>2.0</v>
      </c>
      <c r="AA243" s="63">
        <v>7.0</v>
      </c>
      <c r="AB243" s="63">
        <v>6.0</v>
      </c>
      <c r="AD243" s="63">
        <v>8.0</v>
      </c>
      <c r="AE243" s="63">
        <v>22.0</v>
      </c>
      <c r="AF243" s="63">
        <v>7.0</v>
      </c>
      <c r="AG243" s="63">
        <v>50.0</v>
      </c>
      <c r="AH243" s="63">
        <v>9.0</v>
      </c>
      <c r="AI243" s="63">
        <v>16.0</v>
      </c>
      <c r="AJ243" s="63">
        <v>3.0</v>
      </c>
      <c r="AK243" s="63">
        <v>16.0</v>
      </c>
      <c r="AL243" s="63">
        <v>3.0</v>
      </c>
      <c r="AN243" s="63">
        <v>1.0</v>
      </c>
      <c r="AP243" s="63">
        <v>3.0</v>
      </c>
      <c r="AQ243" s="63">
        <v>2.0</v>
      </c>
      <c r="AR243" s="63">
        <v>2.0</v>
      </c>
      <c r="AT243" s="63">
        <v>34.0</v>
      </c>
      <c r="AU243" s="63">
        <v>1.0</v>
      </c>
      <c r="AY243" s="63">
        <v>2.0</v>
      </c>
      <c r="AZ243" s="63">
        <v>10.0</v>
      </c>
      <c r="BA243" s="63">
        <v>2.0</v>
      </c>
      <c r="BB243" s="63">
        <v>2.0</v>
      </c>
      <c r="BC243" s="63">
        <v>2.0</v>
      </c>
      <c r="BD243" s="63">
        <v>1.0</v>
      </c>
      <c r="BI243" s="63">
        <v>2.0</v>
      </c>
      <c r="BJ243" s="63">
        <v>1.0</v>
      </c>
      <c r="BK243" s="63">
        <v>12.0</v>
      </c>
      <c r="BL243" s="63">
        <v>1.0</v>
      </c>
      <c r="BM243" s="64"/>
      <c r="BN243" s="63">
        <v>17.0</v>
      </c>
      <c r="BO243" s="63">
        <v>1.0</v>
      </c>
      <c r="BS243" s="63">
        <v>1.0</v>
      </c>
      <c r="BT243" s="63">
        <v>15.0</v>
      </c>
      <c r="BU243" s="63">
        <v>1.0</v>
      </c>
      <c r="BX243" s="63">
        <v>2.0</v>
      </c>
      <c r="BY243" s="63">
        <v>4.0</v>
      </c>
      <c r="CC243" s="63">
        <v>4.0</v>
      </c>
      <c r="CD243" s="63">
        <v>3.0</v>
      </c>
    </row>
    <row r="244" ht="15.75" customHeight="1">
      <c r="A244" s="63" t="s">
        <v>1008</v>
      </c>
      <c r="B244" s="63" t="s">
        <v>1009</v>
      </c>
      <c r="C244" s="63" t="s">
        <v>1010</v>
      </c>
      <c r="D244" s="63">
        <v>81252.0</v>
      </c>
      <c r="E244" s="63" t="s">
        <v>1011</v>
      </c>
      <c r="I244" s="63">
        <v>10.0</v>
      </c>
      <c r="W244" s="64"/>
      <c r="BM244" s="64"/>
    </row>
    <row r="245" ht="15.75" customHeight="1">
      <c r="A245" s="63" t="s">
        <v>1012</v>
      </c>
      <c r="B245" s="63" t="s">
        <v>1013</v>
      </c>
      <c r="C245" s="63" t="s">
        <v>1014</v>
      </c>
      <c r="D245" s="63" t="s">
        <v>520</v>
      </c>
      <c r="E245" s="63" t="s">
        <v>1015</v>
      </c>
      <c r="F245" s="63">
        <v>1.0</v>
      </c>
      <c r="H245" s="63">
        <v>73.0</v>
      </c>
      <c r="I245" s="63">
        <v>1.0</v>
      </c>
      <c r="J245" s="63">
        <v>1.0</v>
      </c>
      <c r="N245" s="63">
        <v>3.0</v>
      </c>
      <c r="O245" s="63">
        <v>67.0</v>
      </c>
      <c r="U245" s="63">
        <v>2.0</v>
      </c>
      <c r="V245" s="63">
        <v>1.0</v>
      </c>
      <c r="W245" s="64">
        <v>75.0</v>
      </c>
      <c r="BM245" s="64"/>
    </row>
    <row r="246" ht="15.75" customHeight="1">
      <c r="A246" s="63" t="s">
        <v>1016</v>
      </c>
      <c r="B246" s="63" t="s">
        <v>1017</v>
      </c>
      <c r="C246" s="63" t="s">
        <v>1018</v>
      </c>
      <c r="D246" s="63">
        <v>81435.0</v>
      </c>
      <c r="E246" s="63" t="s">
        <v>1019</v>
      </c>
      <c r="F246" s="63">
        <v>1.0</v>
      </c>
      <c r="H246" s="63">
        <v>34.0</v>
      </c>
      <c r="O246" s="63">
        <v>33.0</v>
      </c>
      <c r="P246" s="63">
        <v>2.0</v>
      </c>
      <c r="W246" s="64"/>
      <c r="AT246" s="63">
        <v>1.0</v>
      </c>
      <c r="BA246" s="63">
        <v>1.0</v>
      </c>
      <c r="BK246" s="63">
        <v>2.0</v>
      </c>
      <c r="BM246" s="64"/>
    </row>
    <row r="247" ht="15.75" customHeight="1">
      <c r="A247" s="63" t="s">
        <v>1020</v>
      </c>
      <c r="B247" s="63" t="s">
        <v>1021</v>
      </c>
      <c r="C247" s="63" t="s">
        <v>1022</v>
      </c>
      <c r="D247" s="63">
        <v>81252.0</v>
      </c>
      <c r="E247" s="63" t="s">
        <v>1011</v>
      </c>
      <c r="H247" s="63">
        <v>27.0</v>
      </c>
      <c r="M247" s="63">
        <v>2.0</v>
      </c>
      <c r="N247" s="63">
        <v>2.0</v>
      </c>
      <c r="O247" s="63">
        <v>27.0</v>
      </c>
      <c r="W247" s="64"/>
      <c r="BM247" s="64"/>
    </row>
    <row r="248" ht="15.75" customHeight="1">
      <c r="A248" s="63" t="s">
        <v>1023</v>
      </c>
      <c r="B248" s="63" t="s">
        <v>1024</v>
      </c>
      <c r="C248" s="63" t="s">
        <v>1025</v>
      </c>
      <c r="D248" s="63">
        <v>81144.0</v>
      </c>
      <c r="E248" s="63" t="s">
        <v>1026</v>
      </c>
      <c r="F248" s="63">
        <v>27.0</v>
      </c>
      <c r="H248" s="63">
        <v>305.0</v>
      </c>
      <c r="I248" s="63">
        <v>61.0</v>
      </c>
      <c r="N248" s="63">
        <v>153.0</v>
      </c>
      <c r="O248" s="63">
        <v>78.0</v>
      </c>
      <c r="P248" s="63">
        <v>67.0</v>
      </c>
      <c r="S248" s="63">
        <v>1.0</v>
      </c>
      <c r="W248" s="64">
        <v>32.0</v>
      </c>
      <c r="X248" s="63">
        <v>15.0</v>
      </c>
      <c r="AA248" s="63">
        <v>63.0</v>
      </c>
      <c r="AB248" s="63">
        <v>2.0</v>
      </c>
      <c r="AG248" s="63">
        <v>46.0</v>
      </c>
      <c r="AH248" s="63">
        <v>14.0</v>
      </c>
      <c r="AI248" s="63">
        <v>10.0</v>
      </c>
      <c r="AL248" s="63">
        <v>2.0</v>
      </c>
      <c r="AP248" s="63">
        <v>72.0</v>
      </c>
      <c r="BM248" s="64"/>
    </row>
    <row r="249" ht="15.75" customHeight="1">
      <c r="A249" s="63" t="s">
        <v>1027</v>
      </c>
      <c r="B249" s="63" t="s">
        <v>1028</v>
      </c>
      <c r="C249" s="63" t="s">
        <v>1029</v>
      </c>
      <c r="D249" s="63">
        <v>81101.0</v>
      </c>
      <c r="E249" s="63" t="s">
        <v>346</v>
      </c>
      <c r="F249" s="63">
        <v>19.0</v>
      </c>
      <c r="H249" s="63">
        <v>198.0</v>
      </c>
      <c r="I249" s="63">
        <v>144.0</v>
      </c>
      <c r="M249" s="63">
        <v>4.0</v>
      </c>
      <c r="N249" s="63">
        <v>78.0</v>
      </c>
      <c r="O249" s="63">
        <v>72.0</v>
      </c>
      <c r="P249" s="63">
        <v>198.0</v>
      </c>
      <c r="U249" s="63">
        <v>7.0</v>
      </c>
      <c r="W249" s="64">
        <v>10.0</v>
      </c>
      <c r="Y249" s="63">
        <v>2.0</v>
      </c>
      <c r="AA249" s="63">
        <v>232.0</v>
      </c>
      <c r="AB249" s="63">
        <v>51.0</v>
      </c>
      <c r="AF249" s="63">
        <v>4.0</v>
      </c>
      <c r="AG249" s="63">
        <v>146.0</v>
      </c>
      <c r="AH249" s="63">
        <v>4.0</v>
      </c>
      <c r="AI249" s="63">
        <v>125.0</v>
      </c>
      <c r="AL249" s="63">
        <v>12.0</v>
      </c>
      <c r="AP249" s="63">
        <v>2.0</v>
      </c>
      <c r="BM249" s="64"/>
    </row>
    <row r="250" ht="15.75" customHeight="1">
      <c r="A250" s="63" t="s">
        <v>1030</v>
      </c>
      <c r="B250" s="63" t="s">
        <v>1031</v>
      </c>
      <c r="C250" s="63" t="s">
        <v>1032</v>
      </c>
      <c r="D250" s="63">
        <v>80127.0</v>
      </c>
      <c r="E250" s="63" t="s">
        <v>239</v>
      </c>
      <c r="F250" s="63">
        <v>8.0</v>
      </c>
      <c r="G250" s="63">
        <v>25.0</v>
      </c>
      <c r="I250" s="63">
        <v>40.0</v>
      </c>
      <c r="K250" s="63">
        <v>20.0</v>
      </c>
      <c r="L250" s="63">
        <v>28.0</v>
      </c>
      <c r="N250" s="63">
        <v>91.0</v>
      </c>
      <c r="P250" s="63">
        <v>2.0</v>
      </c>
      <c r="S250" s="63">
        <v>1.0</v>
      </c>
      <c r="U250" s="63">
        <v>7.0</v>
      </c>
      <c r="W250" s="64">
        <v>8.0</v>
      </c>
      <c r="X250" s="63">
        <v>12.0</v>
      </c>
      <c r="BM250" s="64"/>
    </row>
    <row r="251" ht="15.75" customHeight="1">
      <c r="A251" s="63" t="s">
        <v>1033</v>
      </c>
      <c r="B251" s="63" t="s">
        <v>1034</v>
      </c>
      <c r="C251" s="63" t="s">
        <v>1035</v>
      </c>
      <c r="D251" s="63">
        <v>81403.0</v>
      </c>
      <c r="E251" s="63" t="s">
        <v>399</v>
      </c>
      <c r="F251" s="63">
        <v>22.0</v>
      </c>
      <c r="S251" s="63">
        <v>2.0</v>
      </c>
      <c r="W251" s="64">
        <v>20.0</v>
      </c>
      <c r="BM251" s="64"/>
    </row>
    <row r="252" ht="15.75" customHeight="1">
      <c r="A252" s="63" t="s">
        <v>1036</v>
      </c>
      <c r="B252" s="63" t="s">
        <v>1037</v>
      </c>
      <c r="C252" s="63" t="s">
        <v>1038</v>
      </c>
      <c r="D252" s="63">
        <v>80016.0</v>
      </c>
      <c r="E252" s="63" t="s">
        <v>350</v>
      </c>
      <c r="G252" s="63">
        <v>7.0</v>
      </c>
      <c r="I252" s="63">
        <v>2.0</v>
      </c>
      <c r="K252" s="63">
        <v>5.0</v>
      </c>
      <c r="L252" s="63">
        <v>200.0</v>
      </c>
      <c r="N252" s="63">
        <v>203.0</v>
      </c>
      <c r="U252" s="63">
        <v>2.0</v>
      </c>
      <c r="W252" s="64"/>
      <c r="X252" s="63">
        <v>205.0</v>
      </c>
      <c r="Z252" s="63">
        <v>6.0</v>
      </c>
      <c r="AB252" s="63">
        <v>2.0</v>
      </c>
      <c r="AD252" s="63">
        <v>20.0</v>
      </c>
      <c r="AE252" s="63">
        <v>312.0</v>
      </c>
      <c r="AG252" s="63">
        <v>324.0</v>
      </c>
      <c r="AL252" s="63">
        <v>8.0</v>
      </c>
      <c r="AQ252" s="63">
        <v>340.0</v>
      </c>
      <c r="BM252" s="64"/>
    </row>
    <row r="253" ht="15.75" customHeight="1">
      <c r="A253" s="63" t="s">
        <v>1039</v>
      </c>
      <c r="B253" s="63" t="s">
        <v>1040</v>
      </c>
      <c r="C253" s="63" t="s">
        <v>1041</v>
      </c>
      <c r="D253" s="63">
        <v>80516.0</v>
      </c>
      <c r="E253" s="63" t="s">
        <v>258</v>
      </c>
      <c r="F253" s="63">
        <v>2.0</v>
      </c>
      <c r="G253" s="63">
        <v>2.0</v>
      </c>
      <c r="I253" s="63">
        <v>17.0</v>
      </c>
      <c r="K253" s="63">
        <v>4.0</v>
      </c>
      <c r="N253" s="63">
        <v>19.0</v>
      </c>
      <c r="P253" s="63">
        <v>1.0</v>
      </c>
      <c r="W253" s="64">
        <v>3.0</v>
      </c>
      <c r="X253" s="63">
        <v>3.0</v>
      </c>
      <c r="BM253" s="64"/>
    </row>
    <row r="254" ht="15.75" customHeight="1">
      <c r="A254" s="63" t="s">
        <v>1042</v>
      </c>
      <c r="B254" s="63" t="s">
        <v>1043</v>
      </c>
      <c r="C254" s="63" t="s">
        <v>1044</v>
      </c>
      <c r="D254" s="63">
        <v>80908.0</v>
      </c>
      <c r="E254" s="63" t="s">
        <v>243</v>
      </c>
      <c r="W254" s="64"/>
      <c r="AR254" s="63">
        <v>51.0</v>
      </c>
      <c r="AS254" s="63">
        <v>16.0</v>
      </c>
      <c r="AT254" s="63">
        <v>55.0</v>
      </c>
      <c r="AU254" s="63">
        <v>31.0</v>
      </c>
      <c r="AW254" s="63">
        <v>16.0</v>
      </c>
      <c r="AX254" s="63">
        <v>20.0</v>
      </c>
      <c r="AY254" s="63">
        <v>2.0</v>
      </c>
      <c r="AZ254" s="63">
        <v>137.0</v>
      </c>
      <c r="BA254" s="63">
        <v>2.0</v>
      </c>
      <c r="BE254" s="63">
        <v>3.0</v>
      </c>
      <c r="BG254" s="63">
        <v>4.0</v>
      </c>
      <c r="BI254" s="63">
        <v>25.0</v>
      </c>
      <c r="BJ254" s="63">
        <v>4.0</v>
      </c>
      <c r="BL254" s="63">
        <v>16.0</v>
      </c>
      <c r="BM254" s="64">
        <v>16.0</v>
      </c>
      <c r="BN254" s="63">
        <v>203.0</v>
      </c>
      <c r="BO254" s="63">
        <v>27.0</v>
      </c>
      <c r="BQ254" s="63">
        <v>27.0</v>
      </c>
      <c r="BR254" s="63">
        <v>19.0</v>
      </c>
      <c r="BT254" s="63">
        <v>277.0</v>
      </c>
      <c r="BX254" s="63">
        <v>36.0</v>
      </c>
      <c r="BY254" s="63">
        <v>29.0</v>
      </c>
      <c r="CA254" s="63">
        <v>3.0</v>
      </c>
      <c r="CC254" s="63">
        <v>54.0</v>
      </c>
      <c r="CD254" s="63">
        <v>54.0</v>
      </c>
    </row>
    <row r="255" ht="15.75" customHeight="1">
      <c r="A255" s="63" t="s">
        <v>1045</v>
      </c>
      <c r="B255" s="63" t="s">
        <v>1046</v>
      </c>
      <c r="C255" s="63" t="s">
        <v>1047</v>
      </c>
      <c r="D255" s="63">
        <v>80020.0</v>
      </c>
      <c r="E255" s="63" t="s">
        <v>444</v>
      </c>
      <c r="F255" s="63">
        <v>359.0</v>
      </c>
      <c r="H255" s="63">
        <v>359.0</v>
      </c>
      <c r="I255" s="63">
        <v>3.0</v>
      </c>
      <c r="O255" s="63">
        <v>302.0</v>
      </c>
      <c r="P255" s="63">
        <v>57.0</v>
      </c>
      <c r="W255" s="64">
        <v>359.0</v>
      </c>
      <c r="Y255" s="63">
        <v>1.0</v>
      </c>
      <c r="AI255" s="63">
        <v>1.0</v>
      </c>
      <c r="AP255" s="63">
        <v>1.0</v>
      </c>
      <c r="AR255" s="63">
        <v>25.0</v>
      </c>
      <c r="AT255" s="63">
        <v>25.0</v>
      </c>
      <c r="AY255" s="63">
        <v>1.0</v>
      </c>
      <c r="BB255" s="63">
        <v>20.0</v>
      </c>
      <c r="BG255" s="63">
        <v>4.0</v>
      </c>
      <c r="BI255" s="63">
        <v>25.0</v>
      </c>
      <c r="BL255" s="63">
        <v>7.0</v>
      </c>
      <c r="BM255" s="64"/>
      <c r="BN255" s="63">
        <v>7.0</v>
      </c>
      <c r="BV255" s="63">
        <v>7.0</v>
      </c>
      <c r="CC255" s="63">
        <v>7.0</v>
      </c>
      <c r="CE255" s="63">
        <v>4.0</v>
      </c>
      <c r="CG255" s="63">
        <v>4.0</v>
      </c>
      <c r="CN255" s="63">
        <v>1.0</v>
      </c>
      <c r="CO255" s="63">
        <v>3.0</v>
      </c>
      <c r="CV255" s="63">
        <v>4.0</v>
      </c>
      <c r="CX255" s="63">
        <v>5.0</v>
      </c>
      <c r="CY255" s="63">
        <v>4.0</v>
      </c>
      <c r="DA255" s="63">
        <v>4.0</v>
      </c>
      <c r="DH255" s="63">
        <v>1.0</v>
      </c>
      <c r="DI255" s="63">
        <v>3.0</v>
      </c>
      <c r="DP255" s="63">
        <v>4.0</v>
      </c>
      <c r="DR255" s="63">
        <v>5.0</v>
      </c>
      <c r="DS255" s="63">
        <v>4.0</v>
      </c>
      <c r="DU255" s="63">
        <v>4.0</v>
      </c>
      <c r="EC255" s="63">
        <v>4.0</v>
      </c>
      <c r="EJ255" s="63">
        <v>4.0</v>
      </c>
      <c r="EM255" s="63">
        <v>2.0</v>
      </c>
      <c r="EO255" s="63">
        <v>2.0</v>
      </c>
      <c r="EW255" s="63">
        <v>2.0</v>
      </c>
      <c r="FD255" s="63">
        <v>2.0</v>
      </c>
      <c r="FF255" s="63">
        <v>5.0</v>
      </c>
    </row>
    <row r="256" ht="15.75" customHeight="1">
      <c r="A256" s="63" t="s">
        <v>1048</v>
      </c>
      <c r="B256" s="63" t="s">
        <v>1049</v>
      </c>
      <c r="C256" s="63" t="s">
        <v>1050</v>
      </c>
      <c r="D256" s="63">
        <v>81137.0</v>
      </c>
      <c r="E256" s="63" t="s">
        <v>287</v>
      </c>
      <c r="F256" s="63">
        <v>62.0</v>
      </c>
      <c r="I256" s="63">
        <v>1.0</v>
      </c>
      <c r="L256" s="63">
        <v>2.0</v>
      </c>
      <c r="N256" s="63">
        <v>1.0</v>
      </c>
      <c r="S256" s="63">
        <v>5.0</v>
      </c>
      <c r="U256" s="63">
        <v>2.0</v>
      </c>
      <c r="W256" s="64">
        <v>57.0</v>
      </c>
      <c r="BM256" s="64"/>
    </row>
    <row r="257" ht="15.75" customHeight="1">
      <c r="W257" s="64"/>
      <c r="BM257" s="64"/>
    </row>
    <row r="258" ht="15.75" customHeight="1">
      <c r="A258" s="65"/>
      <c r="B258" s="65" t="s">
        <v>1051</v>
      </c>
      <c r="C258" s="65"/>
      <c r="D258" s="65"/>
      <c r="E258" s="65"/>
      <c r="F258" s="65">
        <f t="shared" ref="F258:GA258" si="1">SUM(F2:F257)</f>
        <v>4457</v>
      </c>
      <c r="G258" s="65">
        <f t="shared" si="1"/>
        <v>1669</v>
      </c>
      <c r="H258" s="65">
        <f t="shared" si="1"/>
        <v>35870</v>
      </c>
      <c r="I258" s="65">
        <f t="shared" si="1"/>
        <v>15830</v>
      </c>
      <c r="J258" s="65">
        <f t="shared" si="1"/>
        <v>4214</v>
      </c>
      <c r="K258" s="65">
        <f t="shared" si="1"/>
        <v>7078</v>
      </c>
      <c r="L258" s="65">
        <f t="shared" si="1"/>
        <v>14199</v>
      </c>
      <c r="M258" s="65">
        <f t="shared" si="1"/>
        <v>5544</v>
      </c>
      <c r="N258" s="65">
        <f t="shared" si="1"/>
        <v>42058</v>
      </c>
      <c r="O258" s="65">
        <f t="shared" si="1"/>
        <v>23613</v>
      </c>
      <c r="P258" s="65">
        <f t="shared" si="1"/>
        <v>6148</v>
      </c>
      <c r="Q258" s="65">
        <f t="shared" si="1"/>
        <v>191</v>
      </c>
      <c r="R258" s="65">
        <f t="shared" si="1"/>
        <v>409</v>
      </c>
      <c r="S258" s="65">
        <f t="shared" si="1"/>
        <v>273</v>
      </c>
      <c r="T258" s="65">
        <f t="shared" si="1"/>
        <v>26</v>
      </c>
      <c r="U258" s="65">
        <f t="shared" si="1"/>
        <v>5420</v>
      </c>
      <c r="V258" s="65">
        <f t="shared" si="1"/>
        <v>4200</v>
      </c>
      <c r="W258" s="65">
        <f t="shared" si="1"/>
        <v>4921</v>
      </c>
      <c r="X258" s="65">
        <f t="shared" si="1"/>
        <v>2035</v>
      </c>
      <c r="Y258" s="65">
        <f t="shared" si="1"/>
        <v>1021</v>
      </c>
      <c r="Z258" s="65">
        <f t="shared" si="1"/>
        <v>924</v>
      </c>
      <c r="AA258" s="65">
        <f t="shared" si="1"/>
        <v>2438</v>
      </c>
      <c r="AB258" s="65">
        <f t="shared" si="1"/>
        <v>2271</v>
      </c>
      <c r="AC258" s="65">
        <f t="shared" si="1"/>
        <v>21</v>
      </c>
      <c r="AD258" s="65">
        <f t="shared" si="1"/>
        <v>2011</v>
      </c>
      <c r="AE258" s="65">
        <f t="shared" si="1"/>
        <v>13948</v>
      </c>
      <c r="AF258" s="65">
        <f t="shared" si="1"/>
        <v>705</v>
      </c>
      <c r="AG258" s="65">
        <f t="shared" si="1"/>
        <v>18565</v>
      </c>
      <c r="AH258" s="65">
        <f t="shared" si="1"/>
        <v>604</v>
      </c>
      <c r="AI258" s="65">
        <f t="shared" si="1"/>
        <v>1259</v>
      </c>
      <c r="AJ258" s="65">
        <f t="shared" si="1"/>
        <v>41</v>
      </c>
      <c r="AK258" s="65">
        <f t="shared" si="1"/>
        <v>565</v>
      </c>
      <c r="AL258" s="65">
        <f t="shared" si="1"/>
        <v>361</v>
      </c>
      <c r="AM258" s="65">
        <f t="shared" si="1"/>
        <v>10</v>
      </c>
      <c r="AN258" s="65">
        <f t="shared" si="1"/>
        <v>240</v>
      </c>
      <c r="AO258" s="65">
        <f t="shared" si="1"/>
        <v>25</v>
      </c>
      <c r="AP258" s="65">
        <f t="shared" si="1"/>
        <v>758</v>
      </c>
      <c r="AQ258" s="65">
        <f t="shared" si="1"/>
        <v>1011</v>
      </c>
      <c r="AR258" s="65">
        <f t="shared" si="1"/>
        <v>3003</v>
      </c>
      <c r="AS258" s="65">
        <f t="shared" si="1"/>
        <v>544</v>
      </c>
      <c r="AT258" s="65">
        <f t="shared" si="1"/>
        <v>15308</v>
      </c>
      <c r="AU258" s="65">
        <f t="shared" si="1"/>
        <v>11907</v>
      </c>
      <c r="AV258" s="65">
        <f t="shared" si="1"/>
        <v>1940</v>
      </c>
      <c r="AW258" s="65">
        <f t="shared" si="1"/>
        <v>2589</v>
      </c>
      <c r="AX258" s="65">
        <f t="shared" si="1"/>
        <v>1630</v>
      </c>
      <c r="AY258" s="65">
        <f t="shared" si="1"/>
        <v>4417</v>
      </c>
      <c r="AZ258" s="65">
        <f t="shared" si="1"/>
        <v>23645</v>
      </c>
      <c r="BA258" s="65">
        <f t="shared" si="1"/>
        <v>2518</v>
      </c>
      <c r="BB258" s="65">
        <f t="shared" si="1"/>
        <v>1948</v>
      </c>
      <c r="BC258" s="65">
        <f t="shared" si="1"/>
        <v>28</v>
      </c>
      <c r="BD258" s="65">
        <f t="shared" si="1"/>
        <v>4842</v>
      </c>
      <c r="BE258" s="65">
        <f t="shared" si="1"/>
        <v>380</v>
      </c>
      <c r="BF258" s="65">
        <f t="shared" si="1"/>
        <v>35</v>
      </c>
      <c r="BG258" s="65">
        <f t="shared" si="1"/>
        <v>4703</v>
      </c>
      <c r="BH258" s="65">
        <f t="shared" si="1"/>
        <v>1948</v>
      </c>
      <c r="BI258" s="65">
        <f t="shared" si="1"/>
        <v>2802</v>
      </c>
      <c r="BJ258" s="65">
        <f t="shared" si="1"/>
        <v>486</v>
      </c>
      <c r="BK258" s="65">
        <f t="shared" si="1"/>
        <v>6903.77</v>
      </c>
      <c r="BL258" s="65">
        <f t="shared" si="1"/>
        <v>796</v>
      </c>
      <c r="BM258" s="65">
        <f t="shared" si="1"/>
        <v>574</v>
      </c>
      <c r="BN258" s="65">
        <f t="shared" si="1"/>
        <v>12695</v>
      </c>
      <c r="BO258" s="65">
        <f t="shared" si="1"/>
        <v>4729</v>
      </c>
      <c r="BP258" s="65">
        <f t="shared" si="1"/>
        <v>66</v>
      </c>
      <c r="BQ258" s="65">
        <f t="shared" si="1"/>
        <v>3637</v>
      </c>
      <c r="BR258" s="65">
        <f t="shared" si="1"/>
        <v>2086</v>
      </c>
      <c r="BS258" s="65">
        <f t="shared" si="1"/>
        <v>1377</v>
      </c>
      <c r="BT258" s="65">
        <f t="shared" si="1"/>
        <v>17879</v>
      </c>
      <c r="BU258" s="65">
        <f t="shared" si="1"/>
        <v>138</v>
      </c>
      <c r="BV258" s="65">
        <f t="shared" si="1"/>
        <v>2369</v>
      </c>
      <c r="BW258" s="65">
        <f t="shared" si="1"/>
        <v>1</v>
      </c>
      <c r="BX258" s="65">
        <f t="shared" si="1"/>
        <v>589</v>
      </c>
      <c r="BY258" s="65">
        <f t="shared" si="1"/>
        <v>1189</v>
      </c>
      <c r="BZ258" s="65">
        <f t="shared" si="1"/>
        <v>12</v>
      </c>
      <c r="CA258" s="65">
        <f t="shared" si="1"/>
        <v>1797</v>
      </c>
      <c r="CB258" s="65">
        <f t="shared" si="1"/>
        <v>66</v>
      </c>
      <c r="CC258" s="65">
        <f t="shared" si="1"/>
        <v>885</v>
      </c>
      <c r="CD258" s="65">
        <f t="shared" si="1"/>
        <v>587</v>
      </c>
      <c r="CE258" s="65">
        <f t="shared" si="1"/>
        <v>1072</v>
      </c>
      <c r="CF258" s="65">
        <f t="shared" si="1"/>
        <v>28</v>
      </c>
      <c r="CG258" s="65">
        <f t="shared" si="1"/>
        <v>350</v>
      </c>
      <c r="CH258" s="65">
        <f t="shared" si="1"/>
        <v>745</v>
      </c>
      <c r="CI258" s="65">
        <f t="shared" si="1"/>
        <v>8</v>
      </c>
      <c r="CJ258" s="65">
        <f t="shared" si="1"/>
        <v>194</v>
      </c>
      <c r="CK258" s="65">
        <f t="shared" si="1"/>
        <v>19</v>
      </c>
      <c r="CL258" s="65">
        <f t="shared" si="1"/>
        <v>86</v>
      </c>
      <c r="CM258" s="65">
        <f t="shared" si="1"/>
        <v>822</v>
      </c>
      <c r="CN258" s="65">
        <f t="shared" si="1"/>
        <v>59</v>
      </c>
      <c r="CO258" s="65">
        <f t="shared" si="1"/>
        <v>291</v>
      </c>
      <c r="CP258" s="65">
        <f t="shared" si="1"/>
        <v>0</v>
      </c>
      <c r="CQ258" s="65">
        <f t="shared" si="1"/>
        <v>13</v>
      </c>
      <c r="CR258" s="65">
        <f t="shared" si="1"/>
        <v>138</v>
      </c>
      <c r="CS258" s="65">
        <f t="shared" si="1"/>
        <v>11</v>
      </c>
      <c r="CT258" s="65">
        <f t="shared" si="1"/>
        <v>210</v>
      </c>
      <c r="CU258" s="65">
        <f t="shared" si="1"/>
        <v>7</v>
      </c>
      <c r="CV258" s="65">
        <f t="shared" si="1"/>
        <v>900</v>
      </c>
      <c r="CW258" s="65">
        <f t="shared" si="1"/>
        <v>49</v>
      </c>
      <c r="CX258" s="65">
        <f t="shared" si="1"/>
        <v>1738.6</v>
      </c>
      <c r="CY258" s="65">
        <f t="shared" si="1"/>
        <v>223</v>
      </c>
      <c r="CZ258" s="65">
        <f t="shared" si="1"/>
        <v>11</v>
      </c>
      <c r="DA258" s="65">
        <f t="shared" si="1"/>
        <v>771</v>
      </c>
      <c r="DB258" s="65">
        <f t="shared" si="1"/>
        <v>2435</v>
      </c>
      <c r="DC258" s="65">
        <f t="shared" si="1"/>
        <v>129</v>
      </c>
      <c r="DD258" s="65">
        <f t="shared" si="1"/>
        <v>104</v>
      </c>
      <c r="DE258" s="65">
        <f t="shared" si="1"/>
        <v>5</v>
      </c>
      <c r="DF258" s="65">
        <f t="shared" si="1"/>
        <v>64</v>
      </c>
      <c r="DG258" s="65">
        <f t="shared" si="1"/>
        <v>2443</v>
      </c>
      <c r="DH258" s="65">
        <f t="shared" si="1"/>
        <v>56</v>
      </c>
      <c r="DI258" s="65">
        <f t="shared" si="1"/>
        <v>539</v>
      </c>
      <c r="DJ258" s="65">
        <f t="shared" si="1"/>
        <v>5</v>
      </c>
      <c r="DK258" s="65">
        <f t="shared" si="1"/>
        <v>5</v>
      </c>
      <c r="DL258" s="65">
        <f t="shared" si="1"/>
        <v>58</v>
      </c>
      <c r="DM258" s="65">
        <f t="shared" si="1"/>
        <v>2</v>
      </c>
      <c r="DN258" s="65">
        <f t="shared" si="1"/>
        <v>334</v>
      </c>
      <c r="DO258" s="65">
        <f t="shared" si="1"/>
        <v>130</v>
      </c>
      <c r="DP258" s="65">
        <f t="shared" si="1"/>
        <v>141</v>
      </c>
      <c r="DQ258" s="65">
        <f t="shared" si="1"/>
        <v>3</v>
      </c>
      <c r="DR258" s="65">
        <f t="shared" si="1"/>
        <v>681.82</v>
      </c>
      <c r="DS258" s="65">
        <f t="shared" si="1"/>
        <v>153</v>
      </c>
      <c r="DT258" s="65">
        <f t="shared" si="1"/>
        <v>19</v>
      </c>
      <c r="DU258" s="65">
        <f t="shared" si="1"/>
        <v>244</v>
      </c>
      <c r="DV258" s="65">
        <f t="shared" si="1"/>
        <v>249</v>
      </c>
      <c r="DW258" s="65">
        <f t="shared" si="1"/>
        <v>6</v>
      </c>
      <c r="DX258" s="65">
        <f t="shared" si="1"/>
        <v>11</v>
      </c>
      <c r="DY258" s="65">
        <f t="shared" si="1"/>
        <v>0</v>
      </c>
      <c r="DZ258" s="65">
        <f t="shared" si="1"/>
        <v>53</v>
      </c>
      <c r="EA258" s="65">
        <f t="shared" si="1"/>
        <v>320</v>
      </c>
      <c r="EB258" s="65">
        <f t="shared" si="1"/>
        <v>29</v>
      </c>
      <c r="EC258" s="65">
        <f t="shared" si="1"/>
        <v>121</v>
      </c>
      <c r="ED258" s="65">
        <f t="shared" si="1"/>
        <v>0</v>
      </c>
      <c r="EE258" s="65">
        <f t="shared" si="1"/>
        <v>9</v>
      </c>
      <c r="EF258" s="65">
        <f t="shared" si="1"/>
        <v>9</v>
      </c>
      <c r="EG258" s="65">
        <f t="shared" si="1"/>
        <v>1</v>
      </c>
      <c r="EH258" s="65">
        <f t="shared" si="1"/>
        <v>6</v>
      </c>
      <c r="EI258" s="65">
        <f t="shared" si="1"/>
        <v>6</v>
      </c>
      <c r="EJ258" s="65">
        <f t="shared" si="1"/>
        <v>222</v>
      </c>
      <c r="EK258" s="65">
        <f t="shared" si="1"/>
        <v>12</v>
      </c>
      <c r="EL258" s="65">
        <f t="shared" si="1"/>
        <v>928.95</v>
      </c>
      <c r="EM258" s="65">
        <f t="shared" si="1"/>
        <v>170</v>
      </c>
      <c r="EN258" s="65">
        <f t="shared" si="1"/>
        <v>112</v>
      </c>
      <c r="EO258" s="65">
        <f t="shared" si="1"/>
        <v>462</v>
      </c>
      <c r="EP258" s="65">
        <f t="shared" si="1"/>
        <v>721</v>
      </c>
      <c r="EQ258" s="65">
        <f t="shared" si="1"/>
        <v>36</v>
      </c>
      <c r="ER258" s="65">
        <f t="shared" si="1"/>
        <v>84</v>
      </c>
      <c r="ES258" s="65">
        <f t="shared" si="1"/>
        <v>5</v>
      </c>
      <c r="ET258" s="65">
        <f t="shared" si="1"/>
        <v>38</v>
      </c>
      <c r="EU258" s="65">
        <f t="shared" si="1"/>
        <v>924</v>
      </c>
      <c r="EV258" s="65">
        <f t="shared" si="1"/>
        <v>35</v>
      </c>
      <c r="EW258" s="65">
        <f t="shared" si="1"/>
        <v>179</v>
      </c>
      <c r="EX258" s="65">
        <f t="shared" si="1"/>
        <v>0</v>
      </c>
      <c r="EY258" s="65">
        <f t="shared" si="1"/>
        <v>3</v>
      </c>
      <c r="EZ258" s="65">
        <f t="shared" si="1"/>
        <v>37</v>
      </c>
      <c r="FA258" s="65">
        <f t="shared" si="1"/>
        <v>1</v>
      </c>
      <c r="FB258" s="65">
        <f t="shared" si="1"/>
        <v>97</v>
      </c>
      <c r="FC258" s="65">
        <f t="shared" si="1"/>
        <v>36</v>
      </c>
      <c r="FD258" s="65">
        <f t="shared" si="1"/>
        <v>169</v>
      </c>
      <c r="FE258" s="65">
        <f t="shared" si="1"/>
        <v>107</v>
      </c>
      <c r="FF258" s="65">
        <f t="shared" si="1"/>
        <v>658.81</v>
      </c>
      <c r="FG258" s="65">
        <f t="shared" si="1"/>
        <v>126</v>
      </c>
      <c r="FH258" s="65">
        <f t="shared" si="1"/>
        <v>4</v>
      </c>
      <c r="FI258" s="65">
        <f t="shared" si="1"/>
        <v>0</v>
      </c>
      <c r="FJ258" s="65">
        <f t="shared" si="1"/>
        <v>307</v>
      </c>
      <c r="FK258" s="65">
        <f t="shared" si="1"/>
        <v>345</v>
      </c>
      <c r="FL258" s="65">
        <f t="shared" si="1"/>
        <v>6</v>
      </c>
      <c r="FM258" s="65">
        <f t="shared" si="1"/>
        <v>194</v>
      </c>
      <c r="FN258" s="65">
        <f t="shared" si="1"/>
        <v>0</v>
      </c>
      <c r="FO258" s="65">
        <f t="shared" si="1"/>
        <v>186</v>
      </c>
      <c r="FP258" s="65">
        <f t="shared" si="1"/>
        <v>560</v>
      </c>
      <c r="FQ258" s="65">
        <f t="shared" si="1"/>
        <v>38</v>
      </c>
      <c r="FR258" s="65">
        <f t="shared" si="1"/>
        <v>226</v>
      </c>
      <c r="FS258" s="65">
        <f t="shared" si="1"/>
        <v>0</v>
      </c>
      <c r="FT258" s="65">
        <f t="shared" si="1"/>
        <v>9</v>
      </c>
      <c r="FU258" s="65">
        <f t="shared" si="1"/>
        <v>48</v>
      </c>
      <c r="FV258" s="65">
        <f t="shared" si="1"/>
        <v>0</v>
      </c>
      <c r="FW258" s="65">
        <f t="shared" si="1"/>
        <v>126</v>
      </c>
      <c r="FX258" s="65">
        <f t="shared" si="1"/>
        <v>5</v>
      </c>
      <c r="FY258" s="65">
        <f t="shared" si="1"/>
        <v>166</v>
      </c>
      <c r="FZ258" s="65">
        <f t="shared" si="1"/>
        <v>4</v>
      </c>
      <c r="GA258" s="65">
        <f t="shared" si="1"/>
        <v>1529.34</v>
      </c>
    </row>
  </sheetData>
  <autoFilter ref="$A$1:$GA$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71"/>
    <col customWidth="1" hidden="1" min="2" max="40" width="8.0"/>
    <col customWidth="1" min="41" max="45" width="10.71"/>
  </cols>
  <sheetData>
    <row r="1" ht="135.0" customHeight="1">
      <c r="A1" s="62" t="s">
        <v>50</v>
      </c>
      <c r="B1" s="61" t="s">
        <v>92</v>
      </c>
      <c r="C1" s="61" t="s">
        <v>93</v>
      </c>
      <c r="D1" s="61" t="s">
        <v>94</v>
      </c>
      <c r="E1" s="61" t="s">
        <v>95</v>
      </c>
      <c r="F1" s="61" t="s">
        <v>96</v>
      </c>
      <c r="G1" s="61" t="s">
        <v>97</v>
      </c>
      <c r="H1" s="61" t="s">
        <v>98</v>
      </c>
      <c r="I1" s="61" t="s">
        <v>99</v>
      </c>
      <c r="J1" s="61" t="s">
        <v>100</v>
      </c>
      <c r="K1" s="61" t="s">
        <v>101</v>
      </c>
      <c r="L1" s="61" t="s">
        <v>102</v>
      </c>
      <c r="M1" s="61" t="s">
        <v>103</v>
      </c>
      <c r="N1" s="61" t="s">
        <v>104</v>
      </c>
      <c r="O1" s="61" t="s">
        <v>105</v>
      </c>
      <c r="P1" s="61" t="s">
        <v>106</v>
      </c>
      <c r="Q1" s="61" t="s">
        <v>107</v>
      </c>
      <c r="R1" s="61" t="s">
        <v>108</v>
      </c>
      <c r="S1" s="61" t="s">
        <v>109</v>
      </c>
      <c r="T1" s="61" t="s">
        <v>110</v>
      </c>
      <c r="U1" s="61" t="s">
        <v>111</v>
      </c>
      <c r="V1" s="61" t="s">
        <v>112</v>
      </c>
      <c r="W1" s="61" t="s">
        <v>113</v>
      </c>
      <c r="X1" s="61" t="s">
        <v>114</v>
      </c>
      <c r="Y1" s="61" t="s">
        <v>115</v>
      </c>
      <c r="Z1" s="61" t="s">
        <v>116</v>
      </c>
      <c r="AA1" s="61" t="s">
        <v>117</v>
      </c>
      <c r="AB1" s="61" t="s">
        <v>118</v>
      </c>
      <c r="AC1" s="61" t="s">
        <v>119</v>
      </c>
      <c r="AD1" s="61" t="s">
        <v>120</v>
      </c>
      <c r="AE1" s="61" t="s">
        <v>121</v>
      </c>
      <c r="AF1" s="61" t="s">
        <v>122</v>
      </c>
      <c r="AG1" s="61" t="s">
        <v>123</v>
      </c>
      <c r="AH1" s="61" t="s">
        <v>124</v>
      </c>
      <c r="AI1" s="61" t="s">
        <v>125</v>
      </c>
      <c r="AJ1" s="61" t="s">
        <v>126</v>
      </c>
      <c r="AK1" s="61" t="s">
        <v>127</v>
      </c>
      <c r="AL1" s="61" t="s">
        <v>128</v>
      </c>
      <c r="AM1" s="61" t="s">
        <v>129</v>
      </c>
      <c r="AN1" s="61" t="s">
        <v>130</v>
      </c>
      <c r="AO1" s="61" t="s">
        <v>1052</v>
      </c>
      <c r="AP1" s="61" t="s">
        <v>1053</v>
      </c>
      <c r="AQ1" s="61" t="s">
        <v>1054</v>
      </c>
      <c r="AR1" s="61" t="s">
        <v>1055</v>
      </c>
      <c r="AS1" s="61" t="s">
        <v>1056</v>
      </c>
    </row>
    <row r="2">
      <c r="A2" s="64" t="s">
        <v>534</v>
      </c>
      <c r="B2" s="64">
        <v>223.0</v>
      </c>
      <c r="C2" s="64">
        <v>32.0</v>
      </c>
      <c r="D2" s="64">
        <v>1968.0</v>
      </c>
      <c r="E2" s="64">
        <v>3781.0</v>
      </c>
      <c r="F2" s="64">
        <v>639.0</v>
      </c>
      <c r="G2" s="64">
        <v>276.0</v>
      </c>
      <c r="H2" s="64"/>
      <c r="I2" s="64">
        <v>1.0</v>
      </c>
      <c r="J2" s="64">
        <v>4651.0</v>
      </c>
      <c r="K2" s="64">
        <v>383.0</v>
      </c>
      <c r="L2" s="64">
        <v>65.0</v>
      </c>
      <c r="M2" s="64"/>
      <c r="N2" s="64">
        <v>135.0</v>
      </c>
      <c r="O2" s="64">
        <v>19.0</v>
      </c>
      <c r="P2" s="64">
        <v>1.0</v>
      </c>
      <c r="Q2" s="64">
        <v>859.0</v>
      </c>
      <c r="R2" s="64">
        <v>639.0</v>
      </c>
      <c r="S2" s="64">
        <v>135.0</v>
      </c>
      <c r="T2" s="64">
        <v>14.0</v>
      </c>
      <c r="U2" s="64">
        <v>15.6</v>
      </c>
      <c r="V2" s="64">
        <v>56.0</v>
      </c>
      <c r="W2" s="64">
        <v>81.0</v>
      </c>
      <c r="X2" s="64">
        <v>1812.0</v>
      </c>
      <c r="Y2" s="64">
        <v>840.0</v>
      </c>
      <c r="Z2" s="64">
        <v>2.0</v>
      </c>
      <c r="AA2" s="64">
        <v>155.0</v>
      </c>
      <c r="AB2" s="64"/>
      <c r="AC2" s="64"/>
      <c r="AD2" s="64">
        <v>2050.0</v>
      </c>
      <c r="AE2" s="64">
        <v>15.0</v>
      </c>
      <c r="AF2" s="64">
        <v>50.0</v>
      </c>
      <c r="AG2" s="64"/>
      <c r="AH2" s="64">
        <v>8.0</v>
      </c>
      <c r="AI2" s="64">
        <v>123.0</v>
      </c>
      <c r="AJ2" s="64">
        <v>1.0</v>
      </c>
      <c r="AK2" s="64">
        <v>324.0</v>
      </c>
      <c r="AL2" s="64">
        <v>2.0</v>
      </c>
      <c r="AM2" s="64">
        <v>35.0</v>
      </c>
      <c r="AN2" s="64">
        <v>68.0</v>
      </c>
      <c r="AO2" s="63">
        <f t="shared" ref="AO2:AO256" si="1">SUM(B2+C2+D2+E2+F2+G2+H2+I2+V2+W2+X2+Y2+Z2+AA2+AB2+AC2)</f>
        <v>9866</v>
      </c>
      <c r="AP2" s="63">
        <f t="shared" ref="AP2:AP256" si="2">SUM(J2+K2+L2+M2+N2+O2+P2+Q2+R2+AD2+AE2+AF2+AG2+AH2+AI2+AJ2+AK2+AL2)</f>
        <v>9325</v>
      </c>
      <c r="AQ2" s="63">
        <f t="shared" ref="AQ2:AQ256" si="3">SUM(S2+T2+AM2+AN2)</f>
        <v>252</v>
      </c>
      <c r="AR2" s="63">
        <f t="shared" ref="AR2:AR256" si="4">SUM(AO2-AP2)</f>
        <v>541</v>
      </c>
      <c r="AS2" s="63">
        <f t="shared" ref="AS2:AS256" si="5">SUM(AR2-AQ2)</f>
        <v>289</v>
      </c>
    </row>
    <row r="3">
      <c r="A3" s="63" t="s">
        <v>281</v>
      </c>
      <c r="B3" s="63">
        <v>47.0</v>
      </c>
      <c r="C3" s="63">
        <v>47.0</v>
      </c>
      <c r="D3" s="63">
        <v>64.0</v>
      </c>
      <c r="E3" s="63">
        <v>5.0</v>
      </c>
      <c r="G3" s="63">
        <v>47.0</v>
      </c>
      <c r="H3" s="63">
        <v>12.0</v>
      </c>
      <c r="I3" s="63">
        <v>27.0</v>
      </c>
      <c r="J3" s="63">
        <v>137.0</v>
      </c>
      <c r="L3" s="63">
        <v>1.0</v>
      </c>
      <c r="O3" s="63">
        <v>3.0</v>
      </c>
      <c r="S3" s="63">
        <v>26.0</v>
      </c>
      <c r="T3" s="63">
        <v>26.0</v>
      </c>
      <c r="U3" s="63">
        <v>136.0</v>
      </c>
      <c r="V3" s="63">
        <v>48.0</v>
      </c>
      <c r="W3" s="64">
        <v>48.0</v>
      </c>
      <c r="X3" s="63">
        <v>194.0</v>
      </c>
      <c r="AA3" s="63">
        <v>202.0</v>
      </c>
      <c r="AB3" s="63">
        <v>56.0</v>
      </c>
      <c r="AC3" s="63">
        <v>10.0</v>
      </c>
      <c r="AD3" s="63">
        <v>442.0</v>
      </c>
      <c r="AE3" s="63">
        <v>1.0</v>
      </c>
      <c r="AI3" s="63">
        <v>11.0</v>
      </c>
      <c r="AM3" s="63">
        <v>25.0</v>
      </c>
      <c r="AN3" s="63">
        <v>25.0</v>
      </c>
      <c r="AO3" s="63">
        <f t="shared" si="1"/>
        <v>807</v>
      </c>
      <c r="AP3" s="63">
        <f t="shared" si="2"/>
        <v>595</v>
      </c>
      <c r="AQ3" s="63">
        <f t="shared" si="3"/>
        <v>102</v>
      </c>
      <c r="AR3" s="63">
        <f t="shared" si="4"/>
        <v>212</v>
      </c>
      <c r="AS3" s="63">
        <f t="shared" si="5"/>
        <v>110</v>
      </c>
    </row>
    <row r="4">
      <c r="A4" s="63" t="s">
        <v>289</v>
      </c>
      <c r="B4" s="63">
        <v>13.0</v>
      </c>
      <c r="D4" s="63">
        <v>46.0</v>
      </c>
      <c r="E4" s="63">
        <v>42.0</v>
      </c>
      <c r="J4" s="63">
        <v>64.0</v>
      </c>
      <c r="K4" s="63">
        <v>3.0</v>
      </c>
      <c r="L4" s="63">
        <v>2.0</v>
      </c>
      <c r="O4" s="63">
        <v>1.0</v>
      </c>
      <c r="Q4" s="63">
        <v>1.0</v>
      </c>
      <c r="U4" s="63">
        <v>54.8</v>
      </c>
      <c r="V4" s="63">
        <v>12.0</v>
      </c>
      <c r="W4" s="64"/>
      <c r="X4" s="63">
        <v>76.0</v>
      </c>
      <c r="Y4" s="63">
        <v>12.0</v>
      </c>
      <c r="AD4" s="63">
        <v>30.0</v>
      </c>
      <c r="AF4" s="63">
        <v>1.0</v>
      </c>
      <c r="AK4" s="63">
        <v>1.0</v>
      </c>
      <c r="AO4" s="63">
        <f t="shared" si="1"/>
        <v>201</v>
      </c>
      <c r="AP4" s="63">
        <f t="shared" si="2"/>
        <v>103</v>
      </c>
      <c r="AQ4" s="63">
        <f t="shared" si="3"/>
        <v>0</v>
      </c>
      <c r="AR4" s="63">
        <f t="shared" si="4"/>
        <v>98</v>
      </c>
      <c r="AS4" s="63">
        <f t="shared" si="5"/>
        <v>98</v>
      </c>
    </row>
    <row r="5">
      <c r="A5" s="63" t="s">
        <v>733</v>
      </c>
      <c r="B5" s="63">
        <v>45.0</v>
      </c>
      <c r="C5" s="63">
        <v>12.0</v>
      </c>
      <c r="D5" s="63">
        <v>554.0</v>
      </c>
      <c r="E5" s="63">
        <v>452.0</v>
      </c>
      <c r="G5" s="63">
        <v>17.0</v>
      </c>
      <c r="H5" s="63">
        <v>21.0</v>
      </c>
      <c r="I5" s="63">
        <v>9.0</v>
      </c>
      <c r="J5" s="63">
        <v>679.0</v>
      </c>
      <c r="K5" s="63">
        <v>116.0</v>
      </c>
      <c r="L5" s="63">
        <v>75.0</v>
      </c>
      <c r="M5" s="63">
        <v>24.0</v>
      </c>
      <c r="O5" s="63">
        <v>1.0</v>
      </c>
      <c r="Q5" s="63">
        <v>76.0</v>
      </c>
      <c r="S5" s="63">
        <v>57.0</v>
      </c>
      <c r="T5" s="63">
        <v>12.0</v>
      </c>
      <c r="U5" s="63">
        <v>25.0</v>
      </c>
      <c r="V5" s="63">
        <v>7.0</v>
      </c>
      <c r="W5" s="64">
        <v>6.0</v>
      </c>
      <c r="X5" s="63">
        <v>376.0</v>
      </c>
      <c r="Y5" s="63">
        <v>40.0</v>
      </c>
      <c r="AA5" s="63">
        <v>42.0</v>
      </c>
      <c r="AB5" s="63">
        <v>47.0</v>
      </c>
      <c r="AD5" s="63">
        <v>421.0</v>
      </c>
      <c r="AE5" s="63">
        <v>4.0</v>
      </c>
      <c r="AF5" s="63">
        <v>30.0</v>
      </c>
      <c r="AI5" s="63">
        <v>16.0</v>
      </c>
      <c r="AK5" s="63">
        <v>11.0</v>
      </c>
      <c r="AM5" s="63">
        <v>7.0</v>
      </c>
      <c r="AN5" s="63">
        <v>6.0</v>
      </c>
      <c r="AO5" s="63">
        <f t="shared" si="1"/>
        <v>1628</v>
      </c>
      <c r="AP5" s="63">
        <f t="shared" si="2"/>
        <v>1453</v>
      </c>
      <c r="AQ5" s="63">
        <f t="shared" si="3"/>
        <v>82</v>
      </c>
      <c r="AR5" s="63">
        <f t="shared" si="4"/>
        <v>175</v>
      </c>
      <c r="AS5" s="63">
        <f t="shared" si="5"/>
        <v>93</v>
      </c>
    </row>
    <row r="6">
      <c r="A6" s="63" t="s">
        <v>626</v>
      </c>
      <c r="B6" s="63">
        <v>21.0</v>
      </c>
      <c r="C6" s="63">
        <v>12.0</v>
      </c>
      <c r="D6" s="63">
        <v>289.0</v>
      </c>
      <c r="E6" s="63">
        <v>121.0</v>
      </c>
      <c r="G6" s="63">
        <v>4.0</v>
      </c>
      <c r="J6" s="63">
        <v>185.0</v>
      </c>
      <c r="N6" s="63">
        <v>97.0</v>
      </c>
      <c r="O6" s="63">
        <v>1.0</v>
      </c>
      <c r="S6" s="63">
        <v>24.0</v>
      </c>
      <c r="T6" s="63">
        <v>10.0</v>
      </c>
      <c r="U6" s="63">
        <v>22.0</v>
      </c>
      <c r="V6" s="63">
        <v>36.0</v>
      </c>
      <c r="W6" s="64">
        <v>6.0</v>
      </c>
      <c r="X6" s="63">
        <v>190.0</v>
      </c>
      <c r="Y6" s="63">
        <v>55.0</v>
      </c>
      <c r="AA6" s="63">
        <v>1.0</v>
      </c>
      <c r="AD6" s="63">
        <v>274.0</v>
      </c>
      <c r="AH6" s="63">
        <v>40.0</v>
      </c>
      <c r="AI6" s="63">
        <v>2.0</v>
      </c>
      <c r="AM6" s="63">
        <v>56.0</v>
      </c>
      <c r="AN6" s="63">
        <v>10.0</v>
      </c>
      <c r="AO6" s="63">
        <f t="shared" si="1"/>
        <v>735</v>
      </c>
      <c r="AP6" s="63">
        <f t="shared" si="2"/>
        <v>599</v>
      </c>
      <c r="AQ6" s="63">
        <f t="shared" si="3"/>
        <v>100</v>
      </c>
      <c r="AR6" s="63">
        <f t="shared" si="4"/>
        <v>136</v>
      </c>
      <c r="AS6" s="63">
        <f t="shared" si="5"/>
        <v>36</v>
      </c>
    </row>
    <row r="7">
      <c r="A7" s="63" t="s">
        <v>415</v>
      </c>
      <c r="B7" s="63">
        <v>109.0</v>
      </c>
      <c r="C7" s="63">
        <v>21.0</v>
      </c>
      <c r="D7" s="63">
        <v>82.0</v>
      </c>
      <c r="E7" s="63">
        <v>247.0</v>
      </c>
      <c r="G7" s="63">
        <v>2.0</v>
      </c>
      <c r="I7" s="63">
        <v>53.0</v>
      </c>
      <c r="J7" s="63">
        <v>306.0</v>
      </c>
      <c r="K7" s="63">
        <v>2.0</v>
      </c>
      <c r="N7" s="63">
        <v>8.0</v>
      </c>
      <c r="O7" s="63">
        <v>61.0</v>
      </c>
      <c r="P7" s="63">
        <v>4.0</v>
      </c>
      <c r="Q7" s="63">
        <v>9.0</v>
      </c>
      <c r="S7" s="63">
        <v>118.0</v>
      </c>
      <c r="T7" s="63">
        <v>6.0</v>
      </c>
      <c r="U7" s="63">
        <v>162.0</v>
      </c>
      <c r="V7" s="63">
        <v>21.0</v>
      </c>
      <c r="W7" s="64">
        <v>47.0</v>
      </c>
      <c r="X7" s="63">
        <v>333.0</v>
      </c>
      <c r="Y7" s="63">
        <v>142.0</v>
      </c>
      <c r="AC7" s="63">
        <v>29.0</v>
      </c>
      <c r="AD7" s="63">
        <v>434.0</v>
      </c>
      <c r="AH7" s="63">
        <v>15.0</v>
      </c>
      <c r="AI7" s="63">
        <v>28.0</v>
      </c>
      <c r="AJ7" s="63">
        <v>3.0</v>
      </c>
      <c r="AK7" s="63">
        <v>2.0</v>
      </c>
      <c r="AM7" s="63">
        <v>8.0</v>
      </c>
      <c r="AN7" s="63">
        <v>49.0</v>
      </c>
      <c r="AO7" s="63">
        <f t="shared" si="1"/>
        <v>1086</v>
      </c>
      <c r="AP7" s="63">
        <f t="shared" si="2"/>
        <v>872</v>
      </c>
      <c r="AQ7" s="63">
        <f t="shared" si="3"/>
        <v>181</v>
      </c>
      <c r="AR7" s="63">
        <f t="shared" si="4"/>
        <v>214</v>
      </c>
      <c r="AS7" s="63">
        <f t="shared" si="5"/>
        <v>33</v>
      </c>
    </row>
    <row r="8">
      <c r="A8" s="63" t="s">
        <v>604</v>
      </c>
      <c r="B8" s="63">
        <v>19.0</v>
      </c>
      <c r="C8" s="63">
        <v>16.0</v>
      </c>
      <c r="E8" s="63">
        <v>28.0</v>
      </c>
      <c r="J8" s="63">
        <v>28.0</v>
      </c>
      <c r="S8" s="63">
        <v>6.0</v>
      </c>
      <c r="T8" s="63">
        <v>6.0</v>
      </c>
      <c r="U8" s="63">
        <v>205.0</v>
      </c>
      <c r="W8" s="64"/>
      <c r="X8" s="63">
        <v>10.0</v>
      </c>
      <c r="AD8" s="63">
        <v>10.0</v>
      </c>
      <c r="AI8" s="63">
        <v>1.0</v>
      </c>
      <c r="AO8" s="63">
        <f t="shared" si="1"/>
        <v>73</v>
      </c>
      <c r="AP8" s="63">
        <f t="shared" si="2"/>
        <v>39</v>
      </c>
      <c r="AQ8" s="63">
        <f t="shared" si="3"/>
        <v>12</v>
      </c>
      <c r="AR8" s="63">
        <f t="shared" si="4"/>
        <v>34</v>
      </c>
      <c r="AS8" s="63">
        <f t="shared" si="5"/>
        <v>22</v>
      </c>
    </row>
    <row r="9">
      <c r="A9" s="63" t="s">
        <v>935</v>
      </c>
      <c r="B9" s="63">
        <v>15.0</v>
      </c>
      <c r="D9" s="63">
        <v>15.0</v>
      </c>
      <c r="L9" s="63">
        <v>15.0</v>
      </c>
      <c r="U9" s="63">
        <v>1.0</v>
      </c>
      <c r="V9" s="63">
        <v>13.0</v>
      </c>
      <c r="W9" s="64">
        <v>5.0</v>
      </c>
      <c r="X9" s="63">
        <v>5.0</v>
      </c>
      <c r="AD9" s="63">
        <v>12.0</v>
      </c>
      <c r="AF9" s="63">
        <v>6.0</v>
      </c>
      <c r="AO9" s="63">
        <f t="shared" si="1"/>
        <v>53</v>
      </c>
      <c r="AP9" s="63">
        <f t="shared" si="2"/>
        <v>33</v>
      </c>
      <c r="AQ9" s="63">
        <f t="shared" si="3"/>
        <v>0</v>
      </c>
      <c r="AR9" s="63">
        <f t="shared" si="4"/>
        <v>20</v>
      </c>
      <c r="AS9" s="63">
        <f t="shared" si="5"/>
        <v>20</v>
      </c>
    </row>
    <row r="10">
      <c r="A10" s="63" t="s">
        <v>378</v>
      </c>
      <c r="B10" s="63">
        <v>21.0</v>
      </c>
      <c r="D10" s="63">
        <v>82.0</v>
      </c>
      <c r="E10" s="63">
        <v>138.0</v>
      </c>
      <c r="J10" s="63">
        <v>76.0</v>
      </c>
      <c r="K10" s="63">
        <v>11.0</v>
      </c>
      <c r="L10" s="63">
        <v>42.0</v>
      </c>
      <c r="Q10" s="63">
        <v>91.0</v>
      </c>
      <c r="S10" s="63">
        <v>4.0</v>
      </c>
      <c r="U10" s="63">
        <v>21.0</v>
      </c>
      <c r="V10" s="63">
        <v>1.0</v>
      </c>
      <c r="W10" s="64"/>
      <c r="X10" s="63">
        <v>93.0</v>
      </c>
      <c r="Y10" s="63">
        <v>347.0</v>
      </c>
      <c r="AD10" s="63">
        <v>161.0</v>
      </c>
      <c r="AE10" s="63">
        <v>1.0</v>
      </c>
      <c r="AF10" s="63">
        <v>110.0</v>
      </c>
      <c r="AI10" s="63">
        <v>2.0</v>
      </c>
      <c r="AK10" s="63">
        <v>166.0</v>
      </c>
      <c r="AM10" s="63">
        <v>1.0</v>
      </c>
      <c r="AO10" s="63">
        <f t="shared" si="1"/>
        <v>682</v>
      </c>
      <c r="AP10" s="63">
        <f t="shared" si="2"/>
        <v>660</v>
      </c>
      <c r="AQ10" s="63">
        <f t="shared" si="3"/>
        <v>5</v>
      </c>
      <c r="AR10" s="63">
        <f t="shared" si="4"/>
        <v>22</v>
      </c>
      <c r="AS10" s="63">
        <f t="shared" si="5"/>
        <v>17</v>
      </c>
    </row>
    <row r="11">
      <c r="A11" s="63" t="s">
        <v>702</v>
      </c>
      <c r="B11" s="63">
        <v>12.0</v>
      </c>
      <c r="D11" s="63">
        <v>8.0</v>
      </c>
      <c r="E11" s="63">
        <v>6.0</v>
      </c>
      <c r="G11" s="63">
        <v>15.0</v>
      </c>
      <c r="L11" s="63">
        <v>15.0</v>
      </c>
      <c r="S11" s="63">
        <v>11.0</v>
      </c>
      <c r="W11" s="64"/>
      <c r="X11" s="63">
        <v>5.0</v>
      </c>
      <c r="Y11" s="63">
        <v>15.0</v>
      </c>
      <c r="AD11" s="63">
        <v>1.0</v>
      </c>
      <c r="AF11" s="63">
        <v>5.0</v>
      </c>
      <c r="AI11" s="63">
        <v>3.0</v>
      </c>
      <c r="AM11" s="63">
        <v>11.0</v>
      </c>
      <c r="AO11" s="63">
        <f t="shared" si="1"/>
        <v>61</v>
      </c>
      <c r="AP11" s="63">
        <f t="shared" si="2"/>
        <v>24</v>
      </c>
      <c r="AQ11" s="63">
        <f t="shared" si="3"/>
        <v>22</v>
      </c>
      <c r="AR11" s="63">
        <f t="shared" si="4"/>
        <v>37</v>
      </c>
      <c r="AS11" s="63">
        <f t="shared" si="5"/>
        <v>15</v>
      </c>
    </row>
    <row r="12">
      <c r="A12" s="63" t="s">
        <v>427</v>
      </c>
      <c r="B12" s="63">
        <v>10.0</v>
      </c>
      <c r="C12" s="63">
        <v>10.0</v>
      </c>
      <c r="E12" s="63">
        <v>11.0</v>
      </c>
      <c r="G12" s="63">
        <v>127.0</v>
      </c>
      <c r="I12" s="63">
        <v>3.0</v>
      </c>
      <c r="J12" s="63">
        <v>22.0</v>
      </c>
      <c r="N12" s="63">
        <v>119.0</v>
      </c>
      <c r="U12" s="63">
        <v>19.0</v>
      </c>
      <c r="W12" s="64"/>
      <c r="Y12" s="63">
        <v>71.0</v>
      </c>
      <c r="AC12" s="63">
        <v>15.0</v>
      </c>
      <c r="AD12" s="63">
        <v>86.0</v>
      </c>
      <c r="AM12" s="63">
        <v>3.0</v>
      </c>
      <c r="AN12" s="63">
        <v>3.0</v>
      </c>
      <c r="AO12" s="63">
        <f t="shared" si="1"/>
        <v>247</v>
      </c>
      <c r="AP12" s="63">
        <f t="shared" si="2"/>
        <v>227</v>
      </c>
      <c r="AQ12" s="63">
        <f t="shared" si="3"/>
        <v>6</v>
      </c>
      <c r="AR12" s="63">
        <f t="shared" si="4"/>
        <v>20</v>
      </c>
      <c r="AS12" s="63">
        <f t="shared" si="5"/>
        <v>14</v>
      </c>
    </row>
    <row r="13">
      <c r="A13" s="63" t="s">
        <v>866</v>
      </c>
      <c r="B13" s="63">
        <v>18.0</v>
      </c>
      <c r="D13" s="63">
        <v>74.0</v>
      </c>
      <c r="E13" s="63">
        <v>87.0</v>
      </c>
      <c r="G13" s="63">
        <v>35.0</v>
      </c>
      <c r="H13" s="63">
        <v>2.0</v>
      </c>
      <c r="I13" s="63">
        <v>17.0</v>
      </c>
      <c r="J13" s="63">
        <v>181.0</v>
      </c>
      <c r="K13" s="63">
        <v>10.0</v>
      </c>
      <c r="N13" s="63">
        <v>14.0</v>
      </c>
      <c r="Q13" s="63">
        <v>9.0</v>
      </c>
      <c r="S13" s="63">
        <v>30.0</v>
      </c>
      <c r="U13" s="63">
        <v>40.6</v>
      </c>
      <c r="V13" s="63">
        <v>38.0</v>
      </c>
      <c r="W13" s="64"/>
      <c r="X13" s="63">
        <v>181.0</v>
      </c>
      <c r="Y13" s="63">
        <v>197.0</v>
      </c>
      <c r="AA13" s="63">
        <v>55.0</v>
      </c>
      <c r="AB13" s="63">
        <v>69.0</v>
      </c>
      <c r="AC13" s="63">
        <v>64.0</v>
      </c>
      <c r="AD13" s="63">
        <v>472.0</v>
      </c>
      <c r="AE13" s="63">
        <v>1.0</v>
      </c>
      <c r="AH13" s="63">
        <v>11.0</v>
      </c>
      <c r="AI13" s="63">
        <v>25.0</v>
      </c>
      <c r="AK13" s="63">
        <v>14.0</v>
      </c>
      <c r="AM13" s="63">
        <v>57.0</v>
      </c>
      <c r="AO13" s="63">
        <f t="shared" si="1"/>
        <v>837</v>
      </c>
      <c r="AP13" s="63">
        <f t="shared" si="2"/>
        <v>737</v>
      </c>
      <c r="AQ13" s="63">
        <f t="shared" si="3"/>
        <v>87</v>
      </c>
      <c r="AR13" s="63">
        <f t="shared" si="4"/>
        <v>100</v>
      </c>
      <c r="AS13" s="63">
        <f t="shared" si="5"/>
        <v>13</v>
      </c>
    </row>
    <row r="14">
      <c r="A14" s="63" t="s">
        <v>730</v>
      </c>
      <c r="B14" s="63">
        <v>72.0</v>
      </c>
      <c r="C14" s="63">
        <v>26.0</v>
      </c>
      <c r="D14" s="63">
        <v>15.0</v>
      </c>
      <c r="E14" s="63">
        <v>9.0</v>
      </c>
      <c r="J14" s="63">
        <v>8.0</v>
      </c>
      <c r="O14" s="63">
        <v>2.0</v>
      </c>
      <c r="P14" s="63">
        <v>3.0</v>
      </c>
      <c r="S14" s="63">
        <v>74.0</v>
      </c>
      <c r="T14" s="63">
        <v>22.0</v>
      </c>
      <c r="U14" s="63">
        <v>360.0</v>
      </c>
      <c r="W14" s="64"/>
      <c r="X14" s="63">
        <v>62.0</v>
      </c>
      <c r="Y14" s="63">
        <v>22.0</v>
      </c>
      <c r="AD14" s="63">
        <v>84.0</v>
      </c>
      <c r="AO14" s="63">
        <f t="shared" si="1"/>
        <v>206</v>
      </c>
      <c r="AP14" s="63">
        <f t="shared" si="2"/>
        <v>97</v>
      </c>
      <c r="AQ14" s="63">
        <f t="shared" si="3"/>
        <v>96</v>
      </c>
      <c r="AR14" s="63">
        <f t="shared" si="4"/>
        <v>109</v>
      </c>
      <c r="AS14" s="63">
        <f t="shared" si="5"/>
        <v>13</v>
      </c>
    </row>
    <row r="15">
      <c r="A15" s="63" t="s">
        <v>610</v>
      </c>
      <c r="B15" s="63">
        <v>8.0</v>
      </c>
      <c r="D15" s="63">
        <v>39.0</v>
      </c>
      <c r="E15" s="63">
        <v>28.0</v>
      </c>
      <c r="J15" s="63">
        <v>44.0</v>
      </c>
      <c r="K15" s="63">
        <v>10.0</v>
      </c>
      <c r="Q15" s="63">
        <v>3.0</v>
      </c>
      <c r="S15" s="63">
        <v>7.0</v>
      </c>
      <c r="U15" s="63">
        <v>89.0</v>
      </c>
      <c r="W15" s="64"/>
      <c r="X15" s="63">
        <v>4.0</v>
      </c>
      <c r="Y15" s="63">
        <v>6.0</v>
      </c>
      <c r="AD15" s="63">
        <v>9.0</v>
      </c>
      <c r="AK15" s="63">
        <v>1.0</v>
      </c>
      <c r="AO15" s="63">
        <f t="shared" si="1"/>
        <v>85</v>
      </c>
      <c r="AP15" s="63">
        <f t="shared" si="2"/>
        <v>67</v>
      </c>
      <c r="AQ15" s="63">
        <f t="shared" si="3"/>
        <v>7</v>
      </c>
      <c r="AR15" s="63">
        <f t="shared" si="4"/>
        <v>18</v>
      </c>
      <c r="AS15" s="63">
        <f t="shared" si="5"/>
        <v>11</v>
      </c>
    </row>
    <row r="16">
      <c r="A16" s="63" t="s">
        <v>1006</v>
      </c>
      <c r="B16" s="63">
        <v>2.0</v>
      </c>
      <c r="D16" s="63">
        <v>34.0</v>
      </c>
      <c r="E16" s="63">
        <v>1.0</v>
      </c>
      <c r="I16" s="63">
        <v>2.0</v>
      </c>
      <c r="J16" s="63">
        <v>10.0</v>
      </c>
      <c r="K16" s="63">
        <v>2.0</v>
      </c>
      <c r="L16" s="63">
        <v>2.0</v>
      </c>
      <c r="M16" s="63">
        <v>2.0</v>
      </c>
      <c r="N16" s="63">
        <v>1.0</v>
      </c>
      <c r="S16" s="63">
        <v>2.0</v>
      </c>
      <c r="T16" s="63">
        <v>1.0</v>
      </c>
      <c r="U16" s="63">
        <v>12.0</v>
      </c>
      <c r="V16" s="63">
        <v>1.0</v>
      </c>
      <c r="W16" s="64"/>
      <c r="X16" s="63">
        <v>17.0</v>
      </c>
      <c r="Y16" s="63">
        <v>1.0</v>
      </c>
      <c r="AC16" s="63">
        <v>1.0</v>
      </c>
      <c r="AD16" s="63">
        <v>15.0</v>
      </c>
      <c r="AE16" s="63">
        <v>1.0</v>
      </c>
      <c r="AH16" s="63">
        <v>2.0</v>
      </c>
      <c r="AI16" s="63">
        <v>4.0</v>
      </c>
      <c r="AM16" s="63">
        <v>4.0</v>
      </c>
      <c r="AN16" s="63">
        <v>3.0</v>
      </c>
      <c r="AO16" s="63">
        <f t="shared" si="1"/>
        <v>59</v>
      </c>
      <c r="AP16" s="63">
        <f t="shared" si="2"/>
        <v>39</v>
      </c>
      <c r="AQ16" s="63">
        <f t="shared" si="3"/>
        <v>10</v>
      </c>
      <c r="AR16" s="63">
        <f t="shared" si="4"/>
        <v>20</v>
      </c>
      <c r="AS16" s="63">
        <f t="shared" si="5"/>
        <v>10</v>
      </c>
    </row>
    <row r="17">
      <c r="A17" s="63" t="s">
        <v>565</v>
      </c>
      <c r="B17" s="63">
        <v>87.0</v>
      </c>
      <c r="C17" s="63">
        <v>7.0</v>
      </c>
      <c r="D17" s="63">
        <v>944.0</v>
      </c>
      <c r="E17" s="63">
        <v>520.0</v>
      </c>
      <c r="F17" s="63">
        <v>221.0</v>
      </c>
      <c r="G17" s="63">
        <v>108.0</v>
      </c>
      <c r="H17" s="63">
        <v>156.0</v>
      </c>
      <c r="I17" s="63">
        <v>244.0</v>
      </c>
      <c r="J17" s="63">
        <v>1518.0</v>
      </c>
      <c r="K17" s="63">
        <v>184.0</v>
      </c>
      <c r="L17" s="63">
        <v>16.0</v>
      </c>
      <c r="O17" s="63">
        <v>19.0</v>
      </c>
      <c r="P17" s="63">
        <v>1.0</v>
      </c>
      <c r="Q17" s="63">
        <v>242.0</v>
      </c>
      <c r="R17" s="63">
        <v>224.0</v>
      </c>
      <c r="S17" s="63">
        <v>76.0</v>
      </c>
      <c r="T17" s="63">
        <v>7.0</v>
      </c>
      <c r="U17" s="63">
        <v>18.3</v>
      </c>
      <c r="V17" s="63">
        <v>30.0</v>
      </c>
      <c r="W17" s="64">
        <v>23.0</v>
      </c>
      <c r="X17" s="63">
        <v>476.0</v>
      </c>
      <c r="Y17" s="63">
        <v>77.0</v>
      </c>
      <c r="AA17" s="63">
        <v>247.0</v>
      </c>
      <c r="AB17" s="63">
        <v>104.0</v>
      </c>
      <c r="AC17" s="63">
        <v>18.0</v>
      </c>
      <c r="AD17" s="63">
        <v>865.0</v>
      </c>
      <c r="AE17" s="63">
        <v>3.0</v>
      </c>
      <c r="AF17" s="63">
        <v>7.0</v>
      </c>
      <c r="AI17" s="63">
        <v>23.0</v>
      </c>
      <c r="AJ17" s="63">
        <v>1.0</v>
      </c>
      <c r="AK17" s="63">
        <v>33.0</v>
      </c>
      <c r="AM17" s="63">
        <v>20.0</v>
      </c>
      <c r="AN17" s="63">
        <v>14.0</v>
      </c>
      <c r="AO17" s="63">
        <f t="shared" si="1"/>
        <v>3262</v>
      </c>
      <c r="AP17" s="63">
        <f t="shared" si="2"/>
        <v>3136</v>
      </c>
      <c r="AQ17" s="63">
        <f t="shared" si="3"/>
        <v>117</v>
      </c>
      <c r="AR17" s="63">
        <f t="shared" si="4"/>
        <v>126</v>
      </c>
      <c r="AS17" s="63">
        <f t="shared" si="5"/>
        <v>9</v>
      </c>
    </row>
    <row r="18">
      <c r="A18" s="63" t="s">
        <v>899</v>
      </c>
      <c r="B18" s="63">
        <v>27.0</v>
      </c>
      <c r="C18" s="63">
        <v>2.0</v>
      </c>
      <c r="D18" s="63">
        <v>90.0</v>
      </c>
      <c r="E18" s="63">
        <v>43.0</v>
      </c>
      <c r="I18" s="63">
        <v>4.0</v>
      </c>
      <c r="J18" s="63">
        <v>110.0</v>
      </c>
      <c r="K18" s="63">
        <v>13.0</v>
      </c>
      <c r="L18" s="63">
        <v>32.0</v>
      </c>
      <c r="Q18" s="63">
        <v>12.0</v>
      </c>
      <c r="S18" s="63">
        <v>14.0</v>
      </c>
      <c r="U18" s="63">
        <v>50.0</v>
      </c>
      <c r="V18" s="63">
        <v>1.0</v>
      </c>
      <c r="W18" s="64">
        <v>2.0</v>
      </c>
      <c r="X18" s="63">
        <v>93.0</v>
      </c>
      <c r="Y18" s="63">
        <v>18.0</v>
      </c>
      <c r="AC18" s="63">
        <v>2.0</v>
      </c>
      <c r="AD18" s="63">
        <v>81.0</v>
      </c>
      <c r="AE18" s="63">
        <v>2.0</v>
      </c>
      <c r="AF18" s="63">
        <v>1.0</v>
      </c>
      <c r="AI18" s="63">
        <v>2.0</v>
      </c>
      <c r="AM18" s="63">
        <v>3.0</v>
      </c>
      <c r="AN18" s="63">
        <v>3.0</v>
      </c>
      <c r="AO18" s="63">
        <f t="shared" si="1"/>
        <v>282</v>
      </c>
      <c r="AP18" s="63">
        <f t="shared" si="2"/>
        <v>253</v>
      </c>
      <c r="AQ18" s="63">
        <f t="shared" si="3"/>
        <v>20</v>
      </c>
      <c r="AR18" s="63">
        <f t="shared" si="4"/>
        <v>29</v>
      </c>
      <c r="AS18" s="63">
        <f t="shared" si="5"/>
        <v>9</v>
      </c>
    </row>
    <row r="19">
      <c r="A19" s="63" t="s">
        <v>839</v>
      </c>
      <c r="B19" s="63">
        <v>8.0</v>
      </c>
      <c r="E19" s="63">
        <v>45.0</v>
      </c>
      <c r="J19" s="63">
        <v>35.0</v>
      </c>
      <c r="Q19" s="63">
        <v>3.0</v>
      </c>
      <c r="S19" s="63">
        <v>7.0</v>
      </c>
      <c r="U19" s="63">
        <v>16.68</v>
      </c>
      <c r="W19" s="64"/>
      <c r="Y19" s="63">
        <v>7.0</v>
      </c>
      <c r="AD19" s="63">
        <v>6.0</v>
      </c>
      <c r="AI19" s="63">
        <v>1.0</v>
      </c>
      <c r="AO19" s="63">
        <f t="shared" si="1"/>
        <v>60</v>
      </c>
      <c r="AP19" s="63">
        <f t="shared" si="2"/>
        <v>45</v>
      </c>
      <c r="AQ19" s="63">
        <f t="shared" si="3"/>
        <v>7</v>
      </c>
      <c r="AR19" s="63">
        <f t="shared" si="4"/>
        <v>15</v>
      </c>
      <c r="AS19" s="63">
        <f t="shared" si="5"/>
        <v>8</v>
      </c>
    </row>
    <row r="20">
      <c r="A20" s="63" t="s">
        <v>711</v>
      </c>
      <c r="B20" s="63">
        <v>4.0</v>
      </c>
      <c r="D20" s="63">
        <v>45.0</v>
      </c>
      <c r="E20" s="63">
        <v>3.0</v>
      </c>
      <c r="J20" s="63">
        <v>21.0</v>
      </c>
      <c r="K20" s="63">
        <v>4.0</v>
      </c>
      <c r="L20" s="63">
        <v>9.0</v>
      </c>
      <c r="Q20" s="63">
        <v>3.0</v>
      </c>
      <c r="R20" s="63">
        <v>4.0</v>
      </c>
      <c r="S20" s="63">
        <v>4.0</v>
      </c>
      <c r="U20" s="63">
        <v>6.0</v>
      </c>
      <c r="W20" s="64"/>
      <c r="X20" s="63">
        <v>4.0</v>
      </c>
      <c r="AD20" s="63">
        <v>3.0</v>
      </c>
      <c r="AO20" s="63">
        <f t="shared" si="1"/>
        <v>56</v>
      </c>
      <c r="AP20" s="63">
        <f t="shared" si="2"/>
        <v>44</v>
      </c>
      <c r="AQ20" s="63">
        <f t="shared" si="3"/>
        <v>4</v>
      </c>
      <c r="AR20" s="63">
        <f t="shared" si="4"/>
        <v>12</v>
      </c>
      <c r="AS20" s="63">
        <f t="shared" si="5"/>
        <v>8</v>
      </c>
    </row>
    <row r="21" ht="15.75" customHeight="1">
      <c r="A21" s="63" t="s">
        <v>696</v>
      </c>
      <c r="D21" s="63">
        <v>5.0</v>
      </c>
      <c r="E21" s="63">
        <v>5.0</v>
      </c>
      <c r="H21" s="63">
        <v>35.0</v>
      </c>
      <c r="J21" s="63">
        <v>42.0</v>
      </c>
      <c r="S21" s="63">
        <v>3.0</v>
      </c>
      <c r="T21" s="63">
        <v>3.0</v>
      </c>
      <c r="U21" s="63">
        <v>42.0</v>
      </c>
      <c r="V21" s="63">
        <v>10.0</v>
      </c>
      <c r="W21" s="64">
        <v>10.0</v>
      </c>
      <c r="X21" s="63">
        <v>10.0</v>
      </c>
      <c r="Y21" s="63">
        <v>4.0</v>
      </c>
      <c r="AA21" s="63">
        <v>16.0</v>
      </c>
      <c r="AB21" s="63">
        <v>145.0</v>
      </c>
      <c r="AC21" s="63">
        <v>6.0</v>
      </c>
      <c r="AD21" s="63">
        <v>176.0</v>
      </c>
      <c r="AI21" s="63">
        <v>15.0</v>
      </c>
      <c r="AO21" s="63">
        <f t="shared" si="1"/>
        <v>246</v>
      </c>
      <c r="AP21" s="63">
        <f t="shared" si="2"/>
        <v>233</v>
      </c>
      <c r="AQ21" s="63">
        <f t="shared" si="3"/>
        <v>6</v>
      </c>
      <c r="AR21" s="63">
        <f t="shared" si="4"/>
        <v>13</v>
      </c>
      <c r="AS21" s="63">
        <f t="shared" si="5"/>
        <v>7</v>
      </c>
    </row>
    <row r="22" ht="15.75" customHeight="1">
      <c r="A22" s="63" t="s">
        <v>300</v>
      </c>
      <c r="B22" s="63">
        <v>16.0</v>
      </c>
      <c r="D22" s="63">
        <v>27.0</v>
      </c>
      <c r="E22" s="63">
        <v>24.0</v>
      </c>
      <c r="G22" s="63">
        <v>1.0</v>
      </c>
      <c r="H22" s="63">
        <v>2.0</v>
      </c>
      <c r="J22" s="63">
        <v>38.0</v>
      </c>
      <c r="K22" s="63">
        <v>18.0</v>
      </c>
      <c r="S22" s="63">
        <v>8.0</v>
      </c>
      <c r="U22" s="63">
        <v>34.0</v>
      </c>
      <c r="W22" s="64"/>
      <c r="X22" s="63">
        <v>3.0</v>
      </c>
      <c r="Y22" s="63">
        <v>2.0</v>
      </c>
      <c r="AB22" s="63">
        <v>16.0</v>
      </c>
      <c r="AD22" s="63">
        <v>20.0</v>
      </c>
      <c r="AE22" s="63">
        <v>1.0</v>
      </c>
      <c r="AO22" s="63">
        <f t="shared" si="1"/>
        <v>91</v>
      </c>
      <c r="AP22" s="63">
        <f t="shared" si="2"/>
        <v>77</v>
      </c>
      <c r="AQ22" s="63">
        <f t="shared" si="3"/>
        <v>8</v>
      </c>
      <c r="AR22" s="63">
        <f t="shared" si="4"/>
        <v>14</v>
      </c>
      <c r="AS22" s="63">
        <f t="shared" si="5"/>
        <v>6</v>
      </c>
    </row>
    <row r="23" ht="15.75" customHeight="1">
      <c r="A23" s="63" t="s">
        <v>500</v>
      </c>
      <c r="B23" s="63">
        <v>6.0</v>
      </c>
      <c r="D23" s="63">
        <v>24.0</v>
      </c>
      <c r="E23" s="63">
        <v>12.0</v>
      </c>
      <c r="G23" s="63">
        <v>1.0</v>
      </c>
      <c r="J23" s="63">
        <v>32.0</v>
      </c>
      <c r="K23" s="63">
        <v>1.0</v>
      </c>
      <c r="Q23" s="63">
        <v>1.0</v>
      </c>
      <c r="S23" s="63">
        <v>8.0</v>
      </c>
      <c r="T23" s="63">
        <v>1.0</v>
      </c>
      <c r="U23" s="63">
        <v>30.0</v>
      </c>
      <c r="V23" s="63">
        <v>2.0</v>
      </c>
      <c r="W23" s="64">
        <v>19.0</v>
      </c>
      <c r="X23" s="63">
        <v>104.0</v>
      </c>
      <c r="Y23" s="63">
        <v>1.0</v>
      </c>
      <c r="AD23" s="63">
        <v>60.0</v>
      </c>
      <c r="AF23" s="63">
        <v>28.0</v>
      </c>
      <c r="AI23" s="63">
        <v>24.0</v>
      </c>
      <c r="AM23" s="63">
        <v>2.0</v>
      </c>
      <c r="AN23" s="63">
        <v>6.0</v>
      </c>
      <c r="AO23" s="63">
        <f t="shared" si="1"/>
        <v>169</v>
      </c>
      <c r="AP23" s="63">
        <f t="shared" si="2"/>
        <v>146</v>
      </c>
      <c r="AQ23" s="63">
        <f t="shared" si="3"/>
        <v>17</v>
      </c>
      <c r="AR23" s="63">
        <f t="shared" si="4"/>
        <v>23</v>
      </c>
      <c r="AS23" s="63">
        <f t="shared" si="5"/>
        <v>6</v>
      </c>
    </row>
    <row r="24" ht="15.75" customHeight="1">
      <c r="A24" s="63" t="s">
        <v>571</v>
      </c>
      <c r="C24" s="63">
        <v>2.0</v>
      </c>
      <c r="I24" s="63">
        <v>444.0</v>
      </c>
      <c r="J24" s="63">
        <v>9.0</v>
      </c>
      <c r="K24" s="63">
        <v>30.0</v>
      </c>
      <c r="L24" s="63">
        <v>3.0</v>
      </c>
      <c r="N24" s="63">
        <v>366.0</v>
      </c>
      <c r="Q24" s="63">
        <v>32.0</v>
      </c>
      <c r="U24" s="63">
        <v>3.0</v>
      </c>
      <c r="W24" s="64">
        <v>7.0</v>
      </c>
      <c r="AC24" s="63">
        <v>165.0</v>
      </c>
      <c r="AD24" s="63">
        <v>94.0</v>
      </c>
      <c r="AF24" s="63">
        <v>72.0</v>
      </c>
      <c r="AI24" s="63">
        <v>1.0</v>
      </c>
      <c r="AK24" s="63">
        <v>5.0</v>
      </c>
      <c r="AO24" s="63">
        <f t="shared" si="1"/>
        <v>618</v>
      </c>
      <c r="AP24" s="63">
        <f t="shared" si="2"/>
        <v>612</v>
      </c>
      <c r="AQ24" s="63">
        <f t="shared" si="3"/>
        <v>0</v>
      </c>
      <c r="AR24" s="63">
        <f t="shared" si="4"/>
        <v>6</v>
      </c>
      <c r="AS24" s="63">
        <f t="shared" si="5"/>
        <v>6</v>
      </c>
    </row>
    <row r="25" ht="15.75" customHeight="1">
      <c r="A25" s="63" t="s">
        <v>423</v>
      </c>
      <c r="B25" s="63">
        <v>42.0</v>
      </c>
      <c r="C25" s="63">
        <v>3.0</v>
      </c>
      <c r="D25" s="63">
        <v>130.0</v>
      </c>
      <c r="E25" s="63">
        <v>110.0</v>
      </c>
      <c r="G25" s="63">
        <v>30.0</v>
      </c>
      <c r="I25" s="63">
        <v>19.0</v>
      </c>
      <c r="J25" s="63">
        <v>193.0</v>
      </c>
      <c r="K25" s="63">
        <v>68.0</v>
      </c>
      <c r="L25" s="63">
        <v>10.0</v>
      </c>
      <c r="N25" s="63">
        <v>12.0</v>
      </c>
      <c r="Q25" s="63">
        <v>16.0</v>
      </c>
      <c r="S25" s="63">
        <v>26.0</v>
      </c>
      <c r="T25" s="63">
        <v>2.0</v>
      </c>
      <c r="U25" s="63">
        <v>28.0</v>
      </c>
      <c r="V25" s="63">
        <v>4.0</v>
      </c>
      <c r="W25" s="64"/>
      <c r="X25" s="63">
        <v>87.0</v>
      </c>
      <c r="Y25" s="63">
        <v>24.0</v>
      </c>
      <c r="AA25" s="63">
        <v>32.0</v>
      </c>
      <c r="AC25" s="63">
        <v>26.0</v>
      </c>
      <c r="AD25" s="63">
        <v>148.0</v>
      </c>
      <c r="AE25" s="63">
        <v>2.0</v>
      </c>
      <c r="AF25" s="63">
        <v>10.0</v>
      </c>
      <c r="AH25" s="63">
        <v>1.0</v>
      </c>
      <c r="AI25" s="63">
        <v>5.0</v>
      </c>
      <c r="AK25" s="63">
        <v>6.0</v>
      </c>
      <c r="AM25" s="63">
        <v>4.0</v>
      </c>
      <c r="AO25" s="63">
        <f t="shared" si="1"/>
        <v>507</v>
      </c>
      <c r="AP25" s="63">
        <f t="shared" si="2"/>
        <v>471</v>
      </c>
      <c r="AQ25" s="63">
        <f t="shared" si="3"/>
        <v>32</v>
      </c>
      <c r="AR25" s="63">
        <f t="shared" si="4"/>
        <v>36</v>
      </c>
      <c r="AS25" s="63">
        <f t="shared" si="5"/>
        <v>4</v>
      </c>
    </row>
    <row r="26" ht="15.75" customHeight="1">
      <c r="A26" s="63" t="s">
        <v>675</v>
      </c>
      <c r="B26" s="63">
        <v>84.0</v>
      </c>
      <c r="C26" s="63">
        <v>1.0</v>
      </c>
      <c r="D26" s="63">
        <v>670.0</v>
      </c>
      <c r="E26" s="63">
        <v>125.0</v>
      </c>
      <c r="F26" s="63">
        <v>69.0</v>
      </c>
      <c r="G26" s="63">
        <v>4.0</v>
      </c>
      <c r="I26" s="63">
        <v>48.0</v>
      </c>
      <c r="J26" s="63">
        <v>480.0</v>
      </c>
      <c r="K26" s="63">
        <v>54.0</v>
      </c>
      <c r="L26" s="63">
        <v>111.0</v>
      </c>
      <c r="O26" s="63">
        <v>1.0</v>
      </c>
      <c r="P26" s="63">
        <v>1.0</v>
      </c>
      <c r="Q26" s="63">
        <v>257.0</v>
      </c>
      <c r="R26" s="63">
        <v>69.0</v>
      </c>
      <c r="S26" s="63">
        <v>49.0</v>
      </c>
      <c r="U26" s="63">
        <v>31.5</v>
      </c>
      <c r="V26" s="63">
        <v>12.0</v>
      </c>
      <c r="W26" s="64">
        <v>14.0</v>
      </c>
      <c r="X26" s="63">
        <v>669.0</v>
      </c>
      <c r="Y26" s="63">
        <v>53.0</v>
      </c>
      <c r="AC26" s="63">
        <v>16.0</v>
      </c>
      <c r="AD26" s="63">
        <v>423.0</v>
      </c>
      <c r="AE26" s="63">
        <v>3.0</v>
      </c>
      <c r="AF26" s="63">
        <v>161.0</v>
      </c>
      <c r="AI26" s="63">
        <v>46.0</v>
      </c>
      <c r="AK26" s="63">
        <v>92.0</v>
      </c>
      <c r="AM26" s="63">
        <v>1.0</v>
      </c>
      <c r="AN26" s="63">
        <v>13.0</v>
      </c>
      <c r="AO26" s="63">
        <f t="shared" si="1"/>
        <v>1765</v>
      </c>
      <c r="AP26" s="63">
        <f t="shared" si="2"/>
        <v>1698</v>
      </c>
      <c r="AQ26" s="63">
        <f t="shared" si="3"/>
        <v>63</v>
      </c>
      <c r="AR26" s="63">
        <f t="shared" si="4"/>
        <v>67</v>
      </c>
      <c r="AS26" s="63">
        <f t="shared" si="5"/>
        <v>4</v>
      </c>
    </row>
    <row r="27" ht="15.75" customHeight="1">
      <c r="A27" s="63" t="s">
        <v>419</v>
      </c>
      <c r="B27" s="63">
        <v>3.0</v>
      </c>
      <c r="C27" s="63">
        <v>3.0</v>
      </c>
      <c r="D27" s="63">
        <v>9.0</v>
      </c>
      <c r="E27" s="63">
        <v>1.0</v>
      </c>
      <c r="J27" s="63">
        <v>9.0</v>
      </c>
      <c r="S27" s="63">
        <v>2.0</v>
      </c>
      <c r="T27" s="63">
        <v>2.0</v>
      </c>
      <c r="W27" s="64"/>
      <c r="AO27" s="63">
        <f t="shared" si="1"/>
        <v>16</v>
      </c>
      <c r="AP27" s="63">
        <f t="shared" si="2"/>
        <v>9</v>
      </c>
      <c r="AQ27" s="63">
        <f t="shared" si="3"/>
        <v>4</v>
      </c>
      <c r="AR27" s="63">
        <f t="shared" si="4"/>
        <v>7</v>
      </c>
      <c r="AS27" s="63">
        <f t="shared" si="5"/>
        <v>3</v>
      </c>
    </row>
    <row r="28" ht="15.75" customHeight="1">
      <c r="A28" s="63" t="s">
        <v>653</v>
      </c>
      <c r="D28" s="63">
        <v>7.0</v>
      </c>
      <c r="E28" s="63">
        <v>4.0</v>
      </c>
      <c r="J28" s="63">
        <v>3.0</v>
      </c>
      <c r="L28" s="63">
        <v>7.0</v>
      </c>
      <c r="S28" s="63">
        <v>1.0</v>
      </c>
      <c r="T28" s="63">
        <v>1.0</v>
      </c>
      <c r="U28" s="63">
        <v>35.0</v>
      </c>
      <c r="V28" s="63">
        <v>3.0</v>
      </c>
      <c r="W28" s="64">
        <v>3.0</v>
      </c>
      <c r="X28" s="63">
        <v>33.0</v>
      </c>
      <c r="Y28" s="63">
        <v>9.0</v>
      </c>
      <c r="AB28" s="63">
        <v>3.0</v>
      </c>
      <c r="AD28" s="63">
        <v>15.0</v>
      </c>
      <c r="AF28" s="63">
        <v>19.0</v>
      </c>
      <c r="AI28" s="63">
        <v>3.0</v>
      </c>
      <c r="AJ28" s="63">
        <v>1.0</v>
      </c>
      <c r="AK28" s="63">
        <v>1.0</v>
      </c>
      <c r="AM28" s="63">
        <v>4.0</v>
      </c>
      <c r="AN28" s="63">
        <v>4.0</v>
      </c>
      <c r="AO28" s="63">
        <f t="shared" si="1"/>
        <v>62</v>
      </c>
      <c r="AP28" s="63">
        <f t="shared" si="2"/>
        <v>49</v>
      </c>
      <c r="AQ28" s="63">
        <f t="shared" si="3"/>
        <v>10</v>
      </c>
      <c r="AR28" s="63">
        <f t="shared" si="4"/>
        <v>13</v>
      </c>
      <c r="AS28" s="63">
        <f t="shared" si="5"/>
        <v>3</v>
      </c>
    </row>
    <row r="29" ht="15.75" customHeight="1">
      <c r="A29" s="63" t="s">
        <v>824</v>
      </c>
      <c r="B29" s="63">
        <v>14.0</v>
      </c>
      <c r="C29" s="63">
        <v>14.0</v>
      </c>
      <c r="E29" s="63">
        <v>3.0</v>
      </c>
      <c r="G29" s="63">
        <v>34.0</v>
      </c>
      <c r="H29" s="63">
        <v>3.0</v>
      </c>
      <c r="I29" s="63">
        <v>10.0</v>
      </c>
      <c r="J29" s="63">
        <v>40.0</v>
      </c>
      <c r="K29" s="63">
        <v>1.0</v>
      </c>
      <c r="S29" s="63">
        <v>11.0</v>
      </c>
      <c r="T29" s="63">
        <v>11.0</v>
      </c>
      <c r="U29" s="63">
        <v>48.0</v>
      </c>
      <c r="V29" s="63">
        <v>2.0</v>
      </c>
      <c r="W29" s="64">
        <v>2.0</v>
      </c>
      <c r="AA29" s="63">
        <v>35.0</v>
      </c>
      <c r="AC29" s="63">
        <v>6.0</v>
      </c>
      <c r="AD29" s="63">
        <v>32.0</v>
      </c>
      <c r="AE29" s="63">
        <v>1.0</v>
      </c>
      <c r="AH29" s="63">
        <v>3.0</v>
      </c>
      <c r="AK29" s="63">
        <v>3.0</v>
      </c>
      <c r="AM29" s="63">
        <v>9.0</v>
      </c>
      <c r="AN29" s="63">
        <v>9.0</v>
      </c>
      <c r="AO29" s="63">
        <f t="shared" si="1"/>
        <v>123</v>
      </c>
      <c r="AP29" s="63">
        <f t="shared" si="2"/>
        <v>80</v>
      </c>
      <c r="AQ29" s="63">
        <f t="shared" si="3"/>
        <v>40</v>
      </c>
      <c r="AR29" s="63">
        <f t="shared" si="4"/>
        <v>43</v>
      </c>
      <c r="AS29" s="63">
        <f t="shared" si="5"/>
        <v>3</v>
      </c>
    </row>
    <row r="30" ht="15.75" customHeight="1">
      <c r="A30" s="63" t="s">
        <v>1046</v>
      </c>
      <c r="B30" s="63">
        <v>25.0</v>
      </c>
      <c r="D30" s="63">
        <v>25.0</v>
      </c>
      <c r="I30" s="63">
        <v>1.0</v>
      </c>
      <c r="L30" s="63">
        <v>20.0</v>
      </c>
      <c r="Q30" s="63">
        <v>4.0</v>
      </c>
      <c r="S30" s="63">
        <v>25.0</v>
      </c>
      <c r="V30" s="63">
        <v>7.0</v>
      </c>
      <c r="W30" s="64"/>
      <c r="X30" s="63">
        <v>7.0</v>
      </c>
      <c r="AF30" s="63">
        <v>7.0</v>
      </c>
      <c r="AM30" s="63">
        <v>7.0</v>
      </c>
      <c r="AO30" s="63">
        <f t="shared" si="1"/>
        <v>65</v>
      </c>
      <c r="AP30" s="63">
        <f t="shared" si="2"/>
        <v>31</v>
      </c>
      <c r="AQ30" s="63">
        <f t="shared" si="3"/>
        <v>32</v>
      </c>
      <c r="AR30" s="63">
        <f t="shared" si="4"/>
        <v>34</v>
      </c>
      <c r="AS30" s="63">
        <f t="shared" si="5"/>
        <v>2</v>
      </c>
    </row>
    <row r="31" ht="15.75" customHeight="1">
      <c r="A31" s="63" t="s">
        <v>736</v>
      </c>
      <c r="B31" s="63">
        <v>72.0</v>
      </c>
      <c r="C31" s="63">
        <v>6.0</v>
      </c>
      <c r="D31" s="63">
        <v>1.0</v>
      </c>
      <c r="E31" s="63">
        <v>75.0</v>
      </c>
      <c r="G31" s="63">
        <v>64.0</v>
      </c>
      <c r="H31" s="63">
        <v>13.0</v>
      </c>
      <c r="I31" s="63">
        <v>42.0</v>
      </c>
      <c r="J31" s="63">
        <v>178.0</v>
      </c>
      <c r="L31" s="63">
        <v>10.0</v>
      </c>
      <c r="N31" s="63">
        <v>42.0</v>
      </c>
      <c r="O31" s="63">
        <v>8.0</v>
      </c>
      <c r="S31" s="63">
        <v>129.0</v>
      </c>
      <c r="U31" s="63">
        <v>107.0</v>
      </c>
      <c r="V31" s="63">
        <v>16.0</v>
      </c>
      <c r="W31" s="64">
        <v>7.0</v>
      </c>
      <c r="Y31" s="63">
        <v>70.0</v>
      </c>
      <c r="AA31" s="63">
        <v>54.0</v>
      </c>
      <c r="AB31" s="63">
        <v>6.0</v>
      </c>
      <c r="AD31" s="63">
        <v>33.0</v>
      </c>
      <c r="AI31" s="63">
        <v>19.0</v>
      </c>
      <c r="AN31" s="63">
        <v>5.0</v>
      </c>
      <c r="AO31" s="63">
        <f t="shared" si="1"/>
        <v>426</v>
      </c>
      <c r="AP31" s="63">
        <f t="shared" si="2"/>
        <v>290</v>
      </c>
      <c r="AQ31" s="63">
        <f t="shared" si="3"/>
        <v>134</v>
      </c>
      <c r="AR31" s="63">
        <f t="shared" si="4"/>
        <v>136</v>
      </c>
      <c r="AS31" s="63">
        <f t="shared" si="5"/>
        <v>2</v>
      </c>
    </row>
    <row r="32" ht="15.75" customHeight="1">
      <c r="A32" s="63" t="s">
        <v>553</v>
      </c>
      <c r="C32" s="63">
        <v>17.0</v>
      </c>
      <c r="D32" s="63">
        <v>11.0</v>
      </c>
      <c r="E32" s="63">
        <v>6.0</v>
      </c>
      <c r="H32" s="63">
        <v>10.0</v>
      </c>
      <c r="J32" s="63">
        <v>23.0</v>
      </c>
      <c r="O32" s="63">
        <v>5.0</v>
      </c>
      <c r="Q32" s="63">
        <v>2.0</v>
      </c>
      <c r="T32" s="63">
        <v>13.0</v>
      </c>
      <c r="U32" s="63">
        <v>48.0</v>
      </c>
      <c r="W32" s="64">
        <v>7.0</v>
      </c>
      <c r="X32" s="63">
        <v>52.0</v>
      </c>
      <c r="AB32" s="63">
        <v>28.0</v>
      </c>
      <c r="AD32" s="63">
        <v>80.0</v>
      </c>
      <c r="AI32" s="63">
        <v>1.0</v>
      </c>
      <c r="AN32" s="63">
        <v>6.0</v>
      </c>
      <c r="AO32" s="63">
        <f t="shared" si="1"/>
        <v>131</v>
      </c>
      <c r="AP32" s="63">
        <f t="shared" si="2"/>
        <v>111</v>
      </c>
      <c r="AQ32" s="63">
        <f t="shared" si="3"/>
        <v>19</v>
      </c>
      <c r="AR32" s="63">
        <f t="shared" si="4"/>
        <v>20</v>
      </c>
      <c r="AS32" s="63">
        <f t="shared" si="5"/>
        <v>1</v>
      </c>
    </row>
    <row r="33" ht="15.75" customHeight="1">
      <c r="A33" s="63" t="s">
        <v>480</v>
      </c>
      <c r="B33" s="63">
        <v>25.0</v>
      </c>
      <c r="C33" s="63">
        <v>1.0</v>
      </c>
      <c r="D33" s="63">
        <v>40.0</v>
      </c>
      <c r="E33" s="63">
        <v>17.0</v>
      </c>
      <c r="J33" s="63">
        <v>47.0</v>
      </c>
      <c r="K33" s="63">
        <v>7.0</v>
      </c>
      <c r="S33" s="63">
        <v>26.0</v>
      </c>
      <c r="T33" s="63">
        <v>2.0</v>
      </c>
      <c r="U33" s="63">
        <v>200.0</v>
      </c>
      <c r="W33" s="64"/>
      <c r="X33" s="63">
        <v>7.0</v>
      </c>
      <c r="AF33" s="63">
        <v>7.0</v>
      </c>
      <c r="AO33" s="63">
        <f t="shared" si="1"/>
        <v>90</v>
      </c>
      <c r="AP33" s="63">
        <f t="shared" si="2"/>
        <v>61</v>
      </c>
      <c r="AQ33" s="63">
        <f t="shared" si="3"/>
        <v>28</v>
      </c>
      <c r="AR33" s="63">
        <f t="shared" si="4"/>
        <v>29</v>
      </c>
      <c r="AS33" s="63">
        <f t="shared" si="5"/>
        <v>1</v>
      </c>
    </row>
    <row r="34" ht="15.75" customHeight="1">
      <c r="A34" s="63" t="s">
        <v>757</v>
      </c>
      <c r="E34" s="63">
        <v>9.0</v>
      </c>
      <c r="F34" s="63">
        <v>36.0</v>
      </c>
      <c r="G34" s="63">
        <v>2.0</v>
      </c>
      <c r="I34" s="63">
        <v>148.0</v>
      </c>
      <c r="J34" s="63">
        <v>8.0</v>
      </c>
      <c r="K34" s="63">
        <v>22.0</v>
      </c>
      <c r="L34" s="63">
        <v>27.0</v>
      </c>
      <c r="O34" s="63">
        <v>4.0</v>
      </c>
      <c r="Q34" s="63">
        <v>96.0</v>
      </c>
      <c r="R34" s="63">
        <v>36.0</v>
      </c>
      <c r="S34" s="63">
        <v>2.0</v>
      </c>
      <c r="U34" s="63">
        <v>7.3</v>
      </c>
      <c r="V34" s="63">
        <v>3.0</v>
      </c>
      <c r="W34" s="64"/>
      <c r="Y34" s="63">
        <v>9.0</v>
      </c>
      <c r="Z34" s="63">
        <v>7.0</v>
      </c>
      <c r="AA34" s="63">
        <v>7.0</v>
      </c>
      <c r="AC34" s="63">
        <v>117.0</v>
      </c>
      <c r="AD34" s="63">
        <v>12.0</v>
      </c>
      <c r="AF34" s="63">
        <v>79.0</v>
      </c>
      <c r="AI34" s="63">
        <v>3.0</v>
      </c>
      <c r="AK34" s="63">
        <v>32.0</v>
      </c>
      <c r="AL34" s="63">
        <v>7.0</v>
      </c>
      <c r="AM34" s="63">
        <v>5.0</v>
      </c>
      <c r="AN34" s="63">
        <v>4.0</v>
      </c>
      <c r="AO34" s="63">
        <f t="shared" si="1"/>
        <v>338</v>
      </c>
      <c r="AP34" s="63">
        <f t="shared" si="2"/>
        <v>326</v>
      </c>
      <c r="AQ34" s="63">
        <f t="shared" si="3"/>
        <v>11</v>
      </c>
      <c r="AR34" s="63">
        <f t="shared" si="4"/>
        <v>12</v>
      </c>
      <c r="AS34" s="63">
        <f t="shared" si="5"/>
        <v>1</v>
      </c>
    </row>
    <row r="35" ht="15.75" customHeight="1">
      <c r="A35" s="63" t="s">
        <v>947</v>
      </c>
      <c r="B35" s="63">
        <v>1.0</v>
      </c>
      <c r="C35" s="63">
        <v>1.0</v>
      </c>
      <c r="H35" s="63">
        <v>3.0</v>
      </c>
      <c r="J35" s="63">
        <v>4.0</v>
      </c>
      <c r="U35" s="63">
        <v>92.0</v>
      </c>
      <c r="W35" s="64"/>
      <c r="AB35" s="63">
        <v>9.0</v>
      </c>
      <c r="AD35" s="63">
        <v>9.0</v>
      </c>
      <c r="AO35" s="63">
        <f t="shared" si="1"/>
        <v>14</v>
      </c>
      <c r="AP35" s="63">
        <f t="shared" si="2"/>
        <v>13</v>
      </c>
      <c r="AQ35" s="63">
        <f t="shared" si="3"/>
        <v>0</v>
      </c>
      <c r="AR35" s="63">
        <f t="shared" si="4"/>
        <v>1</v>
      </c>
      <c r="AS35" s="63">
        <f t="shared" si="5"/>
        <v>1</v>
      </c>
    </row>
    <row r="36" ht="15.75" customHeight="1">
      <c r="A36" s="63" t="s">
        <v>854</v>
      </c>
      <c r="B36" s="63">
        <v>1.0</v>
      </c>
      <c r="D36" s="63">
        <v>1.0</v>
      </c>
      <c r="J36" s="63">
        <v>1.0</v>
      </c>
      <c r="U36" s="63">
        <v>12.0</v>
      </c>
      <c r="W36" s="64"/>
      <c r="AO36" s="63">
        <f t="shared" si="1"/>
        <v>2</v>
      </c>
      <c r="AP36" s="63">
        <f t="shared" si="2"/>
        <v>1</v>
      </c>
      <c r="AQ36" s="63">
        <f t="shared" si="3"/>
        <v>0</v>
      </c>
      <c r="AR36" s="63">
        <f t="shared" si="4"/>
        <v>1</v>
      </c>
      <c r="AS36" s="63">
        <f t="shared" si="5"/>
        <v>1</v>
      </c>
    </row>
    <row r="37" ht="15.75" customHeight="1">
      <c r="A37" s="63" t="s">
        <v>802</v>
      </c>
      <c r="B37" s="63">
        <v>3.0</v>
      </c>
      <c r="E37" s="63">
        <v>1.0</v>
      </c>
      <c r="G37" s="63">
        <v>1.0</v>
      </c>
      <c r="J37" s="63">
        <v>2.0</v>
      </c>
      <c r="O37" s="63">
        <v>1.0</v>
      </c>
      <c r="S37" s="63">
        <v>1.0</v>
      </c>
      <c r="U37" s="63">
        <v>303.0</v>
      </c>
      <c r="W37" s="64"/>
      <c r="AO37" s="63">
        <f t="shared" si="1"/>
        <v>5</v>
      </c>
      <c r="AP37" s="63">
        <f t="shared" si="2"/>
        <v>3</v>
      </c>
      <c r="AQ37" s="63">
        <f t="shared" si="3"/>
        <v>1</v>
      </c>
      <c r="AR37" s="63">
        <f t="shared" si="4"/>
        <v>2</v>
      </c>
      <c r="AS37" s="63">
        <f t="shared" si="5"/>
        <v>1</v>
      </c>
    </row>
    <row r="38" ht="15.75" customHeight="1">
      <c r="A38" s="63" t="s">
        <v>669</v>
      </c>
      <c r="B38" s="63">
        <v>89.0</v>
      </c>
      <c r="C38" s="63">
        <v>8.0</v>
      </c>
      <c r="D38" s="63">
        <v>2505.0</v>
      </c>
      <c r="E38" s="63">
        <v>1013.0</v>
      </c>
      <c r="F38" s="63">
        <v>480.0</v>
      </c>
      <c r="G38" s="63">
        <v>7.0</v>
      </c>
      <c r="I38" s="63">
        <v>855.0</v>
      </c>
      <c r="J38" s="63">
        <v>2192.0</v>
      </c>
      <c r="K38" s="63">
        <v>310.0</v>
      </c>
      <c r="L38" s="63">
        <v>75.0</v>
      </c>
      <c r="N38" s="63">
        <v>974.0</v>
      </c>
      <c r="O38" s="63">
        <v>15.0</v>
      </c>
      <c r="P38" s="63">
        <v>2.0</v>
      </c>
      <c r="Q38" s="63">
        <v>777.0</v>
      </c>
      <c r="R38" s="63">
        <v>481.0</v>
      </c>
      <c r="S38" s="63">
        <v>133.0</v>
      </c>
      <c r="T38" s="63">
        <v>2.0</v>
      </c>
      <c r="U38" s="63">
        <v>10.0</v>
      </c>
      <c r="V38" s="63">
        <v>20.0</v>
      </c>
      <c r="W38" s="64">
        <v>40.0</v>
      </c>
      <c r="X38" s="63">
        <v>1210.0</v>
      </c>
      <c r="Y38" s="63">
        <v>305.0</v>
      </c>
      <c r="Z38" s="63">
        <v>13.0</v>
      </c>
      <c r="AA38" s="63">
        <v>5.0</v>
      </c>
      <c r="AC38" s="63">
        <v>112.0</v>
      </c>
      <c r="AD38" s="63">
        <v>1039.0</v>
      </c>
      <c r="AE38" s="63">
        <v>11.0</v>
      </c>
      <c r="AF38" s="63">
        <v>51.0</v>
      </c>
      <c r="AH38" s="63">
        <v>97.0</v>
      </c>
      <c r="AI38" s="63">
        <v>52.0</v>
      </c>
      <c r="AJ38" s="63">
        <v>5.0</v>
      </c>
      <c r="AK38" s="63">
        <v>402.0</v>
      </c>
      <c r="AL38" s="63">
        <v>13.0</v>
      </c>
      <c r="AM38" s="63">
        <v>8.0</v>
      </c>
      <c r="AN38" s="63">
        <v>23.0</v>
      </c>
      <c r="AO38" s="63">
        <f t="shared" si="1"/>
        <v>6662</v>
      </c>
      <c r="AP38" s="63">
        <f t="shared" si="2"/>
        <v>6496</v>
      </c>
      <c r="AQ38" s="63">
        <f t="shared" si="3"/>
        <v>166</v>
      </c>
      <c r="AR38" s="63">
        <f t="shared" si="4"/>
        <v>166</v>
      </c>
      <c r="AS38" s="63">
        <f t="shared" si="5"/>
        <v>0</v>
      </c>
    </row>
    <row r="39" ht="15.75" customHeight="1">
      <c r="A39" s="66" t="s">
        <v>662</v>
      </c>
      <c r="B39" s="61">
        <v>28.0</v>
      </c>
      <c r="C39" s="61">
        <v>0.0</v>
      </c>
      <c r="D39" s="61">
        <v>176.0</v>
      </c>
      <c r="E39" s="61">
        <v>120.0</v>
      </c>
      <c r="F39" s="61"/>
      <c r="G39" s="61"/>
      <c r="H39" s="61"/>
      <c r="I39" s="61">
        <v>66.0</v>
      </c>
      <c r="J39" s="61">
        <v>169.0</v>
      </c>
      <c r="K39" s="61">
        <v>28.0</v>
      </c>
      <c r="L39" s="61">
        <v>121.0</v>
      </c>
      <c r="M39" s="61"/>
      <c r="N39" s="61"/>
      <c r="O39" s="61">
        <v>20.0</v>
      </c>
      <c r="P39" s="61">
        <v>1.0</v>
      </c>
      <c r="Q39" s="61">
        <v>9.0</v>
      </c>
      <c r="R39" s="61">
        <v>1.0</v>
      </c>
      <c r="S39" s="61">
        <v>41.0</v>
      </c>
      <c r="T39" s="61"/>
      <c r="U39" s="61">
        <v>0.73</v>
      </c>
      <c r="V39" s="61">
        <v>6.0</v>
      </c>
      <c r="W39" s="61"/>
      <c r="X39" s="61">
        <v>256.0</v>
      </c>
      <c r="Y39" s="61">
        <v>69.0</v>
      </c>
      <c r="Z39" s="61"/>
      <c r="AA39" s="61"/>
      <c r="AB39" s="61"/>
      <c r="AC39" s="61">
        <v>25.0</v>
      </c>
      <c r="AD39" s="61">
        <v>73.0</v>
      </c>
      <c r="AE39" s="61">
        <v>1.0</v>
      </c>
      <c r="AF39" s="61">
        <v>199.0</v>
      </c>
      <c r="AG39" s="61"/>
      <c r="AH39" s="61"/>
      <c r="AI39" s="61">
        <v>63.0</v>
      </c>
      <c r="AJ39" s="61"/>
      <c r="AK39" s="61">
        <v>6.0</v>
      </c>
      <c r="AL39" s="61"/>
      <c r="AM39" s="61">
        <v>14.0</v>
      </c>
      <c r="AN39" s="61"/>
      <c r="AO39" s="63">
        <f t="shared" si="1"/>
        <v>746</v>
      </c>
      <c r="AP39" s="63">
        <f t="shared" si="2"/>
        <v>691</v>
      </c>
      <c r="AQ39" s="63">
        <f t="shared" si="3"/>
        <v>55</v>
      </c>
      <c r="AR39" s="63">
        <f t="shared" si="4"/>
        <v>55</v>
      </c>
      <c r="AS39" s="63">
        <f t="shared" si="5"/>
        <v>0</v>
      </c>
    </row>
    <row r="40" ht="15.75" customHeight="1">
      <c r="A40" s="63" t="s">
        <v>382</v>
      </c>
      <c r="B40" s="63">
        <v>3.0</v>
      </c>
      <c r="D40" s="63">
        <v>3.0</v>
      </c>
      <c r="K40" s="63">
        <v>3.0</v>
      </c>
      <c r="S40" s="63">
        <v>3.0</v>
      </c>
      <c r="U40" s="63">
        <v>3.0</v>
      </c>
      <c r="W40" s="64"/>
      <c r="AO40" s="63">
        <f t="shared" si="1"/>
        <v>6</v>
      </c>
      <c r="AP40" s="63">
        <f t="shared" si="2"/>
        <v>3</v>
      </c>
      <c r="AQ40" s="63">
        <f t="shared" si="3"/>
        <v>3</v>
      </c>
      <c r="AR40" s="63">
        <f t="shared" si="4"/>
        <v>3</v>
      </c>
      <c r="AS40" s="63">
        <f t="shared" si="5"/>
        <v>0</v>
      </c>
    </row>
    <row r="41" ht="15.75" customHeight="1">
      <c r="A41" s="63" t="s">
        <v>708</v>
      </c>
      <c r="B41" s="63">
        <v>47.0</v>
      </c>
      <c r="C41" s="63">
        <v>1.0</v>
      </c>
      <c r="D41" s="63">
        <v>768.0</v>
      </c>
      <c r="E41" s="63">
        <v>609.0</v>
      </c>
      <c r="F41" s="63">
        <v>102.0</v>
      </c>
      <c r="G41" s="63">
        <v>33.0</v>
      </c>
      <c r="H41" s="63">
        <v>33.0</v>
      </c>
      <c r="I41" s="63">
        <v>104.0</v>
      </c>
      <c r="J41" s="63">
        <v>995.0</v>
      </c>
      <c r="K41" s="63">
        <v>208.0</v>
      </c>
      <c r="L41" s="63">
        <v>111.0</v>
      </c>
      <c r="N41" s="63">
        <v>11.0</v>
      </c>
      <c r="O41" s="63">
        <v>3.0</v>
      </c>
      <c r="P41" s="63">
        <v>2.0</v>
      </c>
      <c r="Q41" s="63">
        <v>218.0</v>
      </c>
      <c r="R41" s="63">
        <v>102.0</v>
      </c>
      <c r="S41" s="63">
        <v>47.0</v>
      </c>
      <c r="U41" s="63">
        <v>14.6</v>
      </c>
      <c r="V41" s="63">
        <v>3.0</v>
      </c>
      <c r="W41" s="64">
        <v>9.0</v>
      </c>
      <c r="X41" s="63">
        <v>330.0</v>
      </c>
      <c r="Y41" s="63">
        <v>70.0</v>
      </c>
      <c r="Z41" s="63">
        <v>2.0</v>
      </c>
      <c r="AA41" s="63">
        <v>22.0</v>
      </c>
      <c r="AB41" s="63">
        <v>50.0</v>
      </c>
      <c r="AC41" s="63">
        <v>18.0</v>
      </c>
      <c r="AD41" s="63">
        <v>414.0</v>
      </c>
      <c r="AE41" s="63">
        <v>3.0</v>
      </c>
      <c r="AF41" s="63">
        <v>14.0</v>
      </c>
      <c r="AI41" s="63">
        <v>23.0</v>
      </c>
      <c r="AK41" s="63">
        <v>36.0</v>
      </c>
      <c r="AL41" s="63">
        <v>2.0</v>
      </c>
      <c r="AM41" s="63">
        <v>5.0</v>
      </c>
      <c r="AN41" s="63">
        <v>7.0</v>
      </c>
      <c r="AO41" s="63">
        <f t="shared" si="1"/>
        <v>2201</v>
      </c>
      <c r="AP41" s="63">
        <f t="shared" si="2"/>
        <v>2142</v>
      </c>
      <c r="AQ41" s="63">
        <f t="shared" si="3"/>
        <v>59</v>
      </c>
      <c r="AR41" s="63">
        <f t="shared" si="4"/>
        <v>59</v>
      </c>
      <c r="AS41" s="63">
        <f t="shared" si="5"/>
        <v>0</v>
      </c>
    </row>
    <row r="42" ht="15.75" customHeight="1">
      <c r="A42" s="63" t="s">
        <v>393</v>
      </c>
      <c r="W42" s="64"/>
      <c r="AO42" s="63">
        <f t="shared" si="1"/>
        <v>0</v>
      </c>
      <c r="AP42" s="63">
        <f t="shared" si="2"/>
        <v>0</v>
      </c>
      <c r="AQ42" s="63">
        <f t="shared" si="3"/>
        <v>0</v>
      </c>
      <c r="AR42" s="63">
        <f t="shared" si="4"/>
        <v>0</v>
      </c>
      <c r="AS42" s="63">
        <f t="shared" si="5"/>
        <v>0</v>
      </c>
    </row>
    <row r="43" ht="15.75" customHeight="1">
      <c r="A43" s="63" t="s">
        <v>820</v>
      </c>
      <c r="B43" s="63">
        <v>35.0</v>
      </c>
      <c r="D43" s="63">
        <v>2.0</v>
      </c>
      <c r="E43" s="63">
        <v>100.0</v>
      </c>
      <c r="J43" s="63">
        <v>95.0</v>
      </c>
      <c r="K43" s="63">
        <v>2.0</v>
      </c>
      <c r="L43" s="63">
        <v>6.0</v>
      </c>
      <c r="O43" s="63">
        <v>1.0</v>
      </c>
      <c r="P43" s="63">
        <v>1.0</v>
      </c>
      <c r="Q43" s="63">
        <v>2.0</v>
      </c>
      <c r="S43" s="63">
        <v>30.0</v>
      </c>
      <c r="U43" s="63">
        <v>100.75</v>
      </c>
      <c r="V43" s="63">
        <v>1.0</v>
      </c>
      <c r="W43" s="64"/>
      <c r="X43" s="63">
        <v>5.0</v>
      </c>
      <c r="Y43" s="63">
        <v>32.0</v>
      </c>
      <c r="AD43" s="63">
        <v>32.0</v>
      </c>
      <c r="AI43" s="63">
        <v>6.0</v>
      </c>
      <c r="AO43" s="63">
        <f t="shared" si="1"/>
        <v>175</v>
      </c>
      <c r="AP43" s="63">
        <f t="shared" si="2"/>
        <v>145</v>
      </c>
      <c r="AQ43" s="63">
        <f t="shared" si="3"/>
        <v>30</v>
      </c>
      <c r="AR43" s="63">
        <f t="shared" si="4"/>
        <v>30</v>
      </c>
      <c r="AS43" s="63">
        <f t="shared" si="5"/>
        <v>0</v>
      </c>
    </row>
    <row r="44" ht="15.75" customHeight="1">
      <c r="A44" s="63" t="s">
        <v>1017</v>
      </c>
      <c r="D44" s="63">
        <v>1.0</v>
      </c>
      <c r="K44" s="63">
        <v>1.0</v>
      </c>
      <c r="U44" s="63">
        <v>2.0</v>
      </c>
      <c r="W44" s="64"/>
      <c r="AO44" s="63">
        <f t="shared" si="1"/>
        <v>1</v>
      </c>
      <c r="AP44" s="63">
        <f t="shared" si="2"/>
        <v>1</v>
      </c>
      <c r="AQ44" s="63">
        <f t="shared" si="3"/>
        <v>0</v>
      </c>
      <c r="AR44" s="63">
        <f t="shared" si="4"/>
        <v>0</v>
      </c>
      <c r="AS44" s="63">
        <f t="shared" si="5"/>
        <v>0</v>
      </c>
    </row>
    <row r="45" ht="15.75" customHeight="1">
      <c r="A45" s="63" t="s">
        <v>944</v>
      </c>
      <c r="B45" s="63">
        <v>20.0</v>
      </c>
      <c r="D45" s="63">
        <v>24.0</v>
      </c>
      <c r="E45" s="63">
        <v>29.0</v>
      </c>
      <c r="G45" s="63">
        <v>37.0</v>
      </c>
      <c r="H45" s="63">
        <v>8.0</v>
      </c>
      <c r="I45" s="63">
        <v>17.0</v>
      </c>
      <c r="J45" s="63">
        <v>113.0</v>
      </c>
      <c r="K45" s="63">
        <v>21.0</v>
      </c>
      <c r="Q45" s="63">
        <v>1.0</v>
      </c>
      <c r="S45" s="63">
        <v>12.0</v>
      </c>
      <c r="U45" s="63">
        <v>51.0</v>
      </c>
      <c r="V45" s="63">
        <v>2.0</v>
      </c>
      <c r="W45" s="64"/>
      <c r="X45" s="63">
        <v>18.0</v>
      </c>
      <c r="Y45" s="63">
        <v>12.0</v>
      </c>
      <c r="AA45" s="63">
        <v>23.0</v>
      </c>
      <c r="AB45" s="63">
        <v>19.0</v>
      </c>
      <c r="AD45" s="63">
        <v>54.0</v>
      </c>
      <c r="AE45" s="63">
        <v>4.0</v>
      </c>
      <c r="AI45" s="63">
        <v>1.0</v>
      </c>
      <c r="AK45" s="63">
        <v>1.0</v>
      </c>
      <c r="AM45" s="63">
        <v>2.0</v>
      </c>
      <c r="AO45" s="63">
        <f t="shared" si="1"/>
        <v>209</v>
      </c>
      <c r="AP45" s="63">
        <f t="shared" si="2"/>
        <v>195</v>
      </c>
      <c r="AQ45" s="63">
        <f t="shared" si="3"/>
        <v>14</v>
      </c>
      <c r="AR45" s="63">
        <f t="shared" si="4"/>
        <v>14</v>
      </c>
      <c r="AS45" s="63">
        <f t="shared" si="5"/>
        <v>0</v>
      </c>
    </row>
    <row r="46" ht="15.75" customHeight="1">
      <c r="A46" s="63" t="s">
        <v>401</v>
      </c>
      <c r="W46" s="64"/>
      <c r="AO46" s="63">
        <f t="shared" si="1"/>
        <v>0</v>
      </c>
      <c r="AP46" s="63">
        <f t="shared" si="2"/>
        <v>0</v>
      </c>
      <c r="AQ46" s="63">
        <f t="shared" si="3"/>
        <v>0</v>
      </c>
      <c r="AR46" s="63">
        <f t="shared" si="4"/>
        <v>0</v>
      </c>
      <c r="AS46" s="63">
        <f t="shared" si="5"/>
        <v>0</v>
      </c>
    </row>
    <row r="47" ht="15.75" customHeight="1">
      <c r="A47" s="63" t="s">
        <v>644</v>
      </c>
      <c r="D47" s="63">
        <v>14.0</v>
      </c>
      <c r="J47" s="63">
        <v>6.0</v>
      </c>
      <c r="L47" s="63">
        <v>8.0</v>
      </c>
      <c r="U47" s="63">
        <v>14.0</v>
      </c>
      <c r="W47" s="64"/>
      <c r="AO47" s="63">
        <f t="shared" si="1"/>
        <v>14</v>
      </c>
      <c r="AP47" s="63">
        <f t="shared" si="2"/>
        <v>14</v>
      </c>
      <c r="AQ47" s="63">
        <f t="shared" si="3"/>
        <v>0</v>
      </c>
      <c r="AR47" s="63">
        <f t="shared" si="4"/>
        <v>0</v>
      </c>
      <c r="AS47" s="63">
        <f t="shared" si="5"/>
        <v>0</v>
      </c>
    </row>
    <row r="48" ht="15.75" customHeight="1">
      <c r="A48" s="63" t="s">
        <v>623</v>
      </c>
      <c r="W48" s="64"/>
      <c r="AO48" s="63">
        <f t="shared" si="1"/>
        <v>0</v>
      </c>
      <c r="AP48" s="63">
        <f t="shared" si="2"/>
        <v>0</v>
      </c>
      <c r="AQ48" s="63">
        <f t="shared" si="3"/>
        <v>0</v>
      </c>
      <c r="AR48" s="63">
        <f t="shared" si="4"/>
        <v>0</v>
      </c>
      <c r="AS48" s="63">
        <f t="shared" si="5"/>
        <v>0</v>
      </c>
    </row>
    <row r="49" ht="15.75" customHeight="1">
      <c r="A49" s="63" t="s">
        <v>338</v>
      </c>
      <c r="W49" s="64"/>
      <c r="AO49" s="63">
        <f t="shared" si="1"/>
        <v>0</v>
      </c>
      <c r="AP49" s="63">
        <f t="shared" si="2"/>
        <v>0</v>
      </c>
      <c r="AQ49" s="63">
        <f t="shared" si="3"/>
        <v>0</v>
      </c>
      <c r="AR49" s="63">
        <f t="shared" si="4"/>
        <v>0</v>
      </c>
      <c r="AS49" s="63">
        <f t="shared" si="5"/>
        <v>0</v>
      </c>
    </row>
    <row r="50" ht="15.75" customHeight="1">
      <c r="A50" s="63" t="s">
        <v>397</v>
      </c>
      <c r="B50" s="63">
        <v>5.0</v>
      </c>
      <c r="D50" s="63">
        <v>196.0</v>
      </c>
      <c r="E50" s="63">
        <v>35.0</v>
      </c>
      <c r="I50" s="63">
        <v>6.0</v>
      </c>
      <c r="J50" s="63">
        <v>118.0</v>
      </c>
      <c r="K50" s="63">
        <v>21.0</v>
      </c>
      <c r="L50" s="63">
        <v>51.0</v>
      </c>
      <c r="Q50" s="63">
        <v>42.0</v>
      </c>
      <c r="S50" s="63">
        <v>10.0</v>
      </c>
      <c r="U50" s="63">
        <v>14.0</v>
      </c>
      <c r="W50" s="64"/>
      <c r="X50" s="63">
        <v>107.0</v>
      </c>
      <c r="Y50" s="63">
        <v>14.0</v>
      </c>
      <c r="AC50" s="63">
        <v>3.0</v>
      </c>
      <c r="AD50" s="63">
        <v>87.0</v>
      </c>
      <c r="AE50" s="63">
        <v>1.0</v>
      </c>
      <c r="AF50" s="63">
        <v>13.0</v>
      </c>
      <c r="AI50" s="63">
        <v>4.0</v>
      </c>
      <c r="AK50" s="63">
        <v>14.0</v>
      </c>
      <c r="AM50" s="63">
        <v>5.0</v>
      </c>
      <c r="AO50" s="63">
        <f t="shared" si="1"/>
        <v>366</v>
      </c>
      <c r="AP50" s="63">
        <f t="shared" si="2"/>
        <v>351</v>
      </c>
      <c r="AQ50" s="63">
        <f t="shared" si="3"/>
        <v>15</v>
      </c>
      <c r="AR50" s="63">
        <f t="shared" si="4"/>
        <v>15</v>
      </c>
      <c r="AS50" s="63">
        <f t="shared" si="5"/>
        <v>0</v>
      </c>
    </row>
    <row r="51" ht="15.75" customHeight="1">
      <c r="A51" s="63" t="s">
        <v>995</v>
      </c>
      <c r="W51" s="64"/>
      <c r="AO51" s="63">
        <f t="shared" si="1"/>
        <v>0</v>
      </c>
      <c r="AP51" s="63">
        <f t="shared" si="2"/>
        <v>0</v>
      </c>
      <c r="AQ51" s="63">
        <f t="shared" si="3"/>
        <v>0</v>
      </c>
      <c r="AR51" s="63">
        <f t="shared" si="4"/>
        <v>0</v>
      </c>
      <c r="AS51" s="63">
        <f t="shared" si="5"/>
        <v>0</v>
      </c>
    </row>
    <row r="52" ht="15.75" customHeight="1">
      <c r="A52" s="63" t="s">
        <v>269</v>
      </c>
      <c r="W52" s="64"/>
      <c r="AO52" s="63">
        <f t="shared" si="1"/>
        <v>0</v>
      </c>
      <c r="AP52" s="63">
        <f t="shared" si="2"/>
        <v>0</v>
      </c>
      <c r="AQ52" s="63">
        <f t="shared" si="3"/>
        <v>0</v>
      </c>
      <c r="AR52" s="63">
        <f t="shared" si="4"/>
        <v>0</v>
      </c>
      <c r="AS52" s="63">
        <f t="shared" si="5"/>
        <v>0</v>
      </c>
    </row>
    <row r="53" ht="15.75" customHeight="1">
      <c r="A53" s="63" t="s">
        <v>705</v>
      </c>
      <c r="D53" s="63">
        <v>64.0</v>
      </c>
      <c r="K53" s="63">
        <v>8.0</v>
      </c>
      <c r="L53" s="63">
        <v>56.0</v>
      </c>
      <c r="U53" s="63">
        <v>4.2</v>
      </c>
      <c r="W53" s="64"/>
      <c r="AO53" s="63">
        <f t="shared" si="1"/>
        <v>64</v>
      </c>
      <c r="AP53" s="63">
        <f t="shared" si="2"/>
        <v>64</v>
      </c>
      <c r="AQ53" s="63">
        <f t="shared" si="3"/>
        <v>0</v>
      </c>
      <c r="AR53" s="63">
        <f t="shared" si="4"/>
        <v>0</v>
      </c>
      <c r="AS53" s="63">
        <f t="shared" si="5"/>
        <v>0</v>
      </c>
    </row>
    <row r="54" ht="15.75" customHeight="1">
      <c r="A54" s="63" t="s">
        <v>632</v>
      </c>
      <c r="W54" s="64"/>
      <c r="AO54" s="63">
        <f t="shared" si="1"/>
        <v>0</v>
      </c>
      <c r="AP54" s="63">
        <f t="shared" si="2"/>
        <v>0</v>
      </c>
      <c r="AQ54" s="63">
        <f t="shared" si="3"/>
        <v>0</v>
      </c>
      <c r="AR54" s="63">
        <f t="shared" si="4"/>
        <v>0</v>
      </c>
      <c r="AS54" s="63">
        <f t="shared" si="5"/>
        <v>0</v>
      </c>
    </row>
    <row r="55" ht="15.75" customHeight="1">
      <c r="A55" s="63" t="s">
        <v>1040</v>
      </c>
      <c r="W55" s="64"/>
      <c r="AO55" s="63">
        <f t="shared" si="1"/>
        <v>0</v>
      </c>
      <c r="AP55" s="63">
        <f t="shared" si="2"/>
        <v>0</v>
      </c>
      <c r="AQ55" s="63">
        <f t="shared" si="3"/>
        <v>0</v>
      </c>
      <c r="AR55" s="63">
        <f t="shared" si="4"/>
        <v>0</v>
      </c>
      <c r="AS55" s="63">
        <f t="shared" si="5"/>
        <v>0</v>
      </c>
    </row>
    <row r="56" ht="15.75" customHeight="1">
      <c r="A56" s="63" t="s">
        <v>488</v>
      </c>
      <c r="B56" s="63">
        <v>1.0</v>
      </c>
      <c r="I56" s="63">
        <v>1.0</v>
      </c>
      <c r="K56" s="63">
        <v>1.0</v>
      </c>
      <c r="S56" s="63">
        <v>1.0</v>
      </c>
      <c r="U56" s="63">
        <v>7.0</v>
      </c>
      <c r="W56" s="64"/>
      <c r="AO56" s="63">
        <f t="shared" si="1"/>
        <v>2</v>
      </c>
      <c r="AP56" s="63">
        <f t="shared" si="2"/>
        <v>1</v>
      </c>
      <c r="AQ56" s="63">
        <f t="shared" si="3"/>
        <v>1</v>
      </c>
      <c r="AR56" s="63">
        <f t="shared" si="4"/>
        <v>1</v>
      </c>
      <c r="AS56" s="63">
        <f t="shared" si="5"/>
        <v>0</v>
      </c>
    </row>
    <row r="57" ht="15.75" customHeight="1">
      <c r="A57" s="63" t="s">
        <v>386</v>
      </c>
      <c r="W57" s="64"/>
      <c r="AO57" s="63">
        <f t="shared" si="1"/>
        <v>0</v>
      </c>
      <c r="AP57" s="63">
        <f t="shared" si="2"/>
        <v>0</v>
      </c>
      <c r="AQ57" s="63">
        <f t="shared" si="3"/>
        <v>0</v>
      </c>
      <c r="AR57" s="63">
        <f t="shared" si="4"/>
        <v>0</v>
      </c>
      <c r="AS57" s="63">
        <f t="shared" si="5"/>
        <v>0</v>
      </c>
    </row>
    <row r="58" ht="15.75" customHeight="1">
      <c r="A58" s="63" t="s">
        <v>404</v>
      </c>
      <c r="W58" s="64"/>
      <c r="AO58" s="63">
        <f t="shared" si="1"/>
        <v>0</v>
      </c>
      <c r="AP58" s="63">
        <f t="shared" si="2"/>
        <v>0</v>
      </c>
      <c r="AQ58" s="63">
        <f t="shared" si="3"/>
        <v>0</v>
      </c>
      <c r="AR58" s="63">
        <f t="shared" si="4"/>
        <v>0</v>
      </c>
      <c r="AS58" s="63">
        <f t="shared" si="5"/>
        <v>0</v>
      </c>
    </row>
    <row r="59" ht="15.75" customHeight="1">
      <c r="A59" s="63" t="s">
        <v>641</v>
      </c>
      <c r="W59" s="64"/>
      <c r="AO59" s="63">
        <f t="shared" si="1"/>
        <v>0</v>
      </c>
      <c r="AP59" s="63">
        <f t="shared" si="2"/>
        <v>0</v>
      </c>
      <c r="AQ59" s="63">
        <f t="shared" si="3"/>
        <v>0</v>
      </c>
      <c r="AR59" s="63">
        <f t="shared" si="4"/>
        <v>0</v>
      </c>
      <c r="AS59" s="63">
        <f t="shared" si="5"/>
        <v>0</v>
      </c>
    </row>
    <row r="60" ht="15.75" customHeight="1">
      <c r="A60" s="63" t="s">
        <v>491</v>
      </c>
      <c r="W60" s="64"/>
      <c r="AO60" s="63">
        <f t="shared" si="1"/>
        <v>0</v>
      </c>
      <c r="AP60" s="63">
        <f t="shared" si="2"/>
        <v>0</v>
      </c>
      <c r="AQ60" s="63">
        <f t="shared" si="3"/>
        <v>0</v>
      </c>
      <c r="AR60" s="63">
        <f t="shared" si="4"/>
        <v>0</v>
      </c>
      <c r="AS60" s="63">
        <f t="shared" si="5"/>
        <v>0</v>
      </c>
    </row>
    <row r="61" ht="15.75" customHeight="1">
      <c r="A61" s="63" t="s">
        <v>589</v>
      </c>
      <c r="W61" s="64"/>
      <c r="AO61" s="63">
        <f t="shared" si="1"/>
        <v>0</v>
      </c>
      <c r="AP61" s="63">
        <f t="shared" si="2"/>
        <v>0</v>
      </c>
      <c r="AQ61" s="63">
        <f t="shared" si="3"/>
        <v>0</v>
      </c>
      <c r="AR61" s="63">
        <f t="shared" si="4"/>
        <v>0</v>
      </c>
      <c r="AS61" s="63">
        <f t="shared" si="5"/>
        <v>0</v>
      </c>
    </row>
    <row r="62" ht="15.75" customHeight="1">
      <c r="A62" s="63" t="s">
        <v>956</v>
      </c>
      <c r="B62" s="63">
        <v>15.0</v>
      </c>
      <c r="C62" s="63">
        <v>6.0</v>
      </c>
      <c r="D62" s="63">
        <v>52.0</v>
      </c>
      <c r="E62" s="63">
        <v>62.0</v>
      </c>
      <c r="G62" s="63">
        <v>6.0</v>
      </c>
      <c r="I62" s="63">
        <v>12.0</v>
      </c>
      <c r="J62" s="63">
        <v>118.0</v>
      </c>
      <c r="K62" s="63">
        <v>8.0</v>
      </c>
      <c r="O62" s="63">
        <v>1.0</v>
      </c>
      <c r="Q62" s="63">
        <v>9.0</v>
      </c>
      <c r="S62" s="63">
        <v>16.0</v>
      </c>
      <c r="T62" s="63">
        <v>1.0</v>
      </c>
      <c r="U62" s="63">
        <v>47.0</v>
      </c>
      <c r="W62" s="64">
        <v>1.0</v>
      </c>
      <c r="X62" s="63">
        <v>19.0</v>
      </c>
      <c r="Y62" s="63">
        <v>58.0</v>
      </c>
      <c r="AA62" s="63">
        <v>17.0</v>
      </c>
      <c r="AC62" s="63">
        <v>1.0</v>
      </c>
      <c r="AD62" s="63">
        <v>91.0</v>
      </c>
      <c r="AI62" s="63">
        <v>2.0</v>
      </c>
      <c r="AK62" s="63">
        <v>3.0</v>
      </c>
      <c r="AO62" s="63">
        <f t="shared" si="1"/>
        <v>249</v>
      </c>
      <c r="AP62" s="63">
        <f t="shared" si="2"/>
        <v>232</v>
      </c>
      <c r="AQ62" s="63">
        <f t="shared" si="3"/>
        <v>17</v>
      </c>
      <c r="AR62" s="63">
        <f t="shared" si="4"/>
        <v>17</v>
      </c>
      <c r="AS62" s="63">
        <f t="shared" si="5"/>
        <v>0</v>
      </c>
    </row>
    <row r="63" ht="15.75" customHeight="1">
      <c r="A63" s="63" t="s">
        <v>433</v>
      </c>
      <c r="W63" s="64"/>
      <c r="AO63" s="63">
        <f t="shared" si="1"/>
        <v>0</v>
      </c>
      <c r="AP63" s="63">
        <f t="shared" si="2"/>
        <v>0</v>
      </c>
      <c r="AQ63" s="63">
        <f t="shared" si="3"/>
        <v>0</v>
      </c>
      <c r="AR63" s="63">
        <f t="shared" si="4"/>
        <v>0</v>
      </c>
      <c r="AS63" s="63">
        <f t="shared" si="5"/>
        <v>0</v>
      </c>
    </row>
    <row r="64" ht="15.75" customHeight="1">
      <c r="A64" s="63" t="s">
        <v>647</v>
      </c>
      <c r="W64" s="64"/>
      <c r="AO64" s="63">
        <f t="shared" si="1"/>
        <v>0</v>
      </c>
      <c r="AP64" s="63">
        <f t="shared" si="2"/>
        <v>0</v>
      </c>
      <c r="AQ64" s="63">
        <f t="shared" si="3"/>
        <v>0</v>
      </c>
      <c r="AR64" s="63">
        <f t="shared" si="4"/>
        <v>0</v>
      </c>
      <c r="AS64" s="63">
        <f t="shared" si="5"/>
        <v>0</v>
      </c>
    </row>
    <row r="65" ht="15.75" customHeight="1">
      <c r="A65" s="63" t="s">
        <v>408</v>
      </c>
      <c r="W65" s="64"/>
      <c r="AO65" s="63">
        <f t="shared" si="1"/>
        <v>0</v>
      </c>
      <c r="AP65" s="63">
        <f t="shared" si="2"/>
        <v>0</v>
      </c>
      <c r="AQ65" s="63">
        <f t="shared" si="3"/>
        <v>0</v>
      </c>
      <c r="AR65" s="63">
        <f t="shared" si="4"/>
        <v>0</v>
      </c>
      <c r="AS65" s="63">
        <f t="shared" si="5"/>
        <v>0</v>
      </c>
    </row>
    <row r="66" ht="15.75" customHeight="1">
      <c r="A66" s="63" t="s">
        <v>754</v>
      </c>
      <c r="W66" s="64"/>
      <c r="AO66" s="63">
        <f t="shared" si="1"/>
        <v>0</v>
      </c>
      <c r="AP66" s="63">
        <f t="shared" si="2"/>
        <v>0</v>
      </c>
      <c r="AQ66" s="63">
        <f t="shared" si="3"/>
        <v>0</v>
      </c>
      <c r="AR66" s="63">
        <f t="shared" si="4"/>
        <v>0</v>
      </c>
      <c r="AS66" s="63">
        <f t="shared" si="5"/>
        <v>0</v>
      </c>
    </row>
    <row r="67" ht="15.75" customHeight="1">
      <c r="A67" s="63" t="s">
        <v>999</v>
      </c>
      <c r="W67" s="64"/>
      <c r="AO67" s="63">
        <f t="shared" si="1"/>
        <v>0</v>
      </c>
      <c r="AP67" s="63">
        <f t="shared" si="2"/>
        <v>0</v>
      </c>
      <c r="AQ67" s="63">
        <f t="shared" si="3"/>
        <v>0</v>
      </c>
      <c r="AR67" s="63">
        <f t="shared" si="4"/>
        <v>0</v>
      </c>
      <c r="AS67" s="63">
        <f t="shared" si="5"/>
        <v>0</v>
      </c>
    </row>
    <row r="68" ht="15.75" customHeight="1">
      <c r="A68" s="63" t="s">
        <v>245</v>
      </c>
      <c r="C68" s="63">
        <v>45.0</v>
      </c>
      <c r="D68" s="63">
        <v>20.0</v>
      </c>
      <c r="E68" s="63">
        <v>12.0</v>
      </c>
      <c r="G68" s="63">
        <v>5.0</v>
      </c>
      <c r="H68" s="63">
        <v>34.0</v>
      </c>
      <c r="I68" s="63">
        <v>22.0</v>
      </c>
      <c r="J68" s="63">
        <v>150.0</v>
      </c>
      <c r="N68" s="63">
        <v>11.0</v>
      </c>
      <c r="Q68" s="63">
        <v>1.0</v>
      </c>
      <c r="T68" s="63">
        <v>41.0</v>
      </c>
      <c r="U68" s="63">
        <v>124.0</v>
      </c>
      <c r="W68" s="64">
        <v>7.0</v>
      </c>
      <c r="X68" s="63">
        <v>17.0</v>
      </c>
      <c r="Y68" s="63">
        <v>10.0</v>
      </c>
      <c r="AB68" s="63">
        <v>35.0</v>
      </c>
      <c r="AD68" s="63">
        <v>3.0</v>
      </c>
      <c r="AI68" s="63">
        <v>1.0</v>
      </c>
      <c r="AO68" s="63">
        <f t="shared" si="1"/>
        <v>207</v>
      </c>
      <c r="AP68" s="63">
        <f t="shared" si="2"/>
        <v>166</v>
      </c>
      <c r="AQ68" s="63">
        <f t="shared" si="3"/>
        <v>41</v>
      </c>
      <c r="AR68" s="63">
        <f t="shared" si="4"/>
        <v>41</v>
      </c>
      <c r="AS68" s="63">
        <f t="shared" si="5"/>
        <v>0</v>
      </c>
    </row>
    <row r="69" ht="15.75" customHeight="1">
      <c r="A69" s="63" t="s">
        <v>467</v>
      </c>
      <c r="W69" s="64"/>
      <c r="AO69" s="63">
        <f t="shared" si="1"/>
        <v>0</v>
      </c>
      <c r="AP69" s="63">
        <f t="shared" si="2"/>
        <v>0</v>
      </c>
      <c r="AQ69" s="63">
        <f t="shared" si="3"/>
        <v>0</v>
      </c>
      <c r="AR69" s="63">
        <f t="shared" si="4"/>
        <v>0</v>
      </c>
      <c r="AS69" s="63">
        <f t="shared" si="5"/>
        <v>0</v>
      </c>
    </row>
    <row r="70" ht="15.75" customHeight="1">
      <c r="A70" s="63" t="s">
        <v>522</v>
      </c>
      <c r="W70" s="64"/>
      <c r="AO70" s="63">
        <f t="shared" si="1"/>
        <v>0</v>
      </c>
      <c r="AP70" s="63">
        <f t="shared" si="2"/>
        <v>0</v>
      </c>
      <c r="AQ70" s="63">
        <f t="shared" si="3"/>
        <v>0</v>
      </c>
      <c r="AR70" s="63">
        <f t="shared" si="4"/>
        <v>0</v>
      </c>
      <c r="AS70" s="63">
        <f t="shared" si="5"/>
        <v>0</v>
      </c>
    </row>
    <row r="71" ht="15.75" customHeight="1">
      <c r="A71" s="63" t="s">
        <v>439</v>
      </c>
      <c r="W71" s="64"/>
      <c r="AO71" s="63">
        <f t="shared" si="1"/>
        <v>0</v>
      </c>
      <c r="AP71" s="63">
        <f t="shared" si="2"/>
        <v>0</v>
      </c>
      <c r="AQ71" s="63">
        <f t="shared" si="3"/>
        <v>0</v>
      </c>
      <c r="AR71" s="63">
        <f t="shared" si="4"/>
        <v>0</v>
      </c>
      <c r="AS71" s="63">
        <f t="shared" si="5"/>
        <v>0</v>
      </c>
    </row>
    <row r="72" ht="15.75" customHeight="1">
      <c r="A72" s="63" t="s">
        <v>458</v>
      </c>
      <c r="W72" s="64"/>
      <c r="AO72" s="63">
        <f t="shared" si="1"/>
        <v>0</v>
      </c>
      <c r="AP72" s="63">
        <f t="shared" si="2"/>
        <v>0</v>
      </c>
      <c r="AQ72" s="63">
        <f t="shared" si="3"/>
        <v>0</v>
      </c>
      <c r="AR72" s="63">
        <f t="shared" si="4"/>
        <v>0</v>
      </c>
      <c r="AS72" s="63">
        <f t="shared" si="5"/>
        <v>0</v>
      </c>
    </row>
    <row r="73" ht="15.75" customHeight="1">
      <c r="A73" s="63" t="s">
        <v>370</v>
      </c>
      <c r="D73" s="63">
        <v>79.0</v>
      </c>
      <c r="J73" s="63">
        <v>2.0</v>
      </c>
      <c r="K73" s="63">
        <v>9.0</v>
      </c>
      <c r="L73" s="63">
        <v>30.0</v>
      </c>
      <c r="O73" s="63">
        <v>3.0</v>
      </c>
      <c r="Q73" s="63">
        <v>35.0</v>
      </c>
      <c r="U73" s="63">
        <v>3.5</v>
      </c>
      <c r="W73" s="64"/>
      <c r="X73" s="63">
        <v>59.0</v>
      </c>
      <c r="AD73" s="63">
        <v>1.0</v>
      </c>
      <c r="AE73" s="63">
        <v>2.0</v>
      </c>
      <c r="AF73" s="63">
        <v>51.0</v>
      </c>
      <c r="AI73" s="63">
        <v>4.0</v>
      </c>
      <c r="AK73" s="63">
        <v>1.0</v>
      </c>
      <c r="AO73" s="63">
        <f t="shared" si="1"/>
        <v>138</v>
      </c>
      <c r="AP73" s="63">
        <f t="shared" si="2"/>
        <v>138</v>
      </c>
      <c r="AQ73" s="63">
        <f t="shared" si="3"/>
        <v>0</v>
      </c>
      <c r="AR73" s="63">
        <f t="shared" si="4"/>
        <v>0</v>
      </c>
      <c r="AS73" s="63">
        <f t="shared" si="5"/>
        <v>0</v>
      </c>
    </row>
    <row r="74" ht="15.75" customHeight="1">
      <c r="A74" s="63" t="s">
        <v>452</v>
      </c>
      <c r="W74" s="64"/>
      <c r="AO74" s="63">
        <f t="shared" si="1"/>
        <v>0</v>
      </c>
      <c r="AP74" s="63">
        <f t="shared" si="2"/>
        <v>0</v>
      </c>
      <c r="AQ74" s="63">
        <f t="shared" si="3"/>
        <v>0</v>
      </c>
      <c r="AR74" s="63">
        <f t="shared" si="4"/>
        <v>0</v>
      </c>
      <c r="AS74" s="63">
        <f t="shared" si="5"/>
        <v>0</v>
      </c>
    </row>
    <row r="75" ht="15.75" customHeight="1">
      <c r="A75" s="63" t="s">
        <v>412</v>
      </c>
      <c r="W75" s="64"/>
      <c r="AO75" s="63">
        <f t="shared" si="1"/>
        <v>0</v>
      </c>
      <c r="AP75" s="63">
        <f t="shared" si="2"/>
        <v>0</v>
      </c>
      <c r="AQ75" s="63">
        <f t="shared" si="3"/>
        <v>0</v>
      </c>
      <c r="AR75" s="63">
        <f t="shared" si="4"/>
        <v>0</v>
      </c>
      <c r="AS75" s="63">
        <f t="shared" si="5"/>
        <v>0</v>
      </c>
    </row>
    <row r="76" ht="15.75" customHeight="1">
      <c r="A76" s="63" t="s">
        <v>374</v>
      </c>
      <c r="W76" s="64"/>
      <c r="AO76" s="63">
        <f t="shared" si="1"/>
        <v>0</v>
      </c>
      <c r="AP76" s="63">
        <f t="shared" si="2"/>
        <v>0</v>
      </c>
      <c r="AQ76" s="63">
        <f t="shared" si="3"/>
        <v>0</v>
      </c>
      <c r="AR76" s="63">
        <f t="shared" si="4"/>
        <v>0</v>
      </c>
      <c r="AS76" s="63">
        <f t="shared" si="5"/>
        <v>0</v>
      </c>
    </row>
    <row r="77" ht="15.75" customHeight="1">
      <c r="A77" s="63" t="s">
        <v>562</v>
      </c>
      <c r="W77" s="64"/>
      <c r="AO77" s="63">
        <f t="shared" si="1"/>
        <v>0</v>
      </c>
      <c r="AP77" s="63">
        <f t="shared" si="2"/>
        <v>0</v>
      </c>
      <c r="AQ77" s="63">
        <f t="shared" si="3"/>
        <v>0</v>
      </c>
      <c r="AR77" s="63">
        <f t="shared" si="4"/>
        <v>0</v>
      </c>
      <c r="AS77" s="63">
        <f t="shared" si="5"/>
        <v>0</v>
      </c>
    </row>
    <row r="78" ht="15.75" customHeight="1">
      <c r="A78" s="63" t="s">
        <v>476</v>
      </c>
      <c r="W78" s="64"/>
      <c r="AO78" s="63">
        <f t="shared" si="1"/>
        <v>0</v>
      </c>
      <c r="AP78" s="63">
        <f t="shared" si="2"/>
        <v>0</v>
      </c>
      <c r="AQ78" s="63">
        <f t="shared" si="3"/>
        <v>0</v>
      </c>
      <c r="AR78" s="63">
        <f t="shared" si="4"/>
        <v>0</v>
      </c>
      <c r="AS78" s="63">
        <f t="shared" si="5"/>
        <v>0</v>
      </c>
    </row>
    <row r="79" ht="15.75" customHeight="1">
      <c r="A79" s="63" t="s">
        <v>311</v>
      </c>
      <c r="W79" s="64"/>
      <c r="AO79" s="63">
        <f t="shared" si="1"/>
        <v>0</v>
      </c>
      <c r="AP79" s="63">
        <f t="shared" si="2"/>
        <v>0</v>
      </c>
      <c r="AQ79" s="63">
        <f t="shared" si="3"/>
        <v>0</v>
      </c>
      <c r="AR79" s="63">
        <f t="shared" si="4"/>
        <v>0</v>
      </c>
      <c r="AS79" s="63">
        <f t="shared" si="5"/>
        <v>0</v>
      </c>
    </row>
    <row r="80" ht="15.75" customHeight="1">
      <c r="A80" s="63" t="s">
        <v>348</v>
      </c>
      <c r="W80" s="64"/>
      <c r="AO80" s="63">
        <f t="shared" si="1"/>
        <v>0</v>
      </c>
      <c r="AP80" s="63">
        <f t="shared" si="2"/>
        <v>0</v>
      </c>
      <c r="AQ80" s="63">
        <f t="shared" si="3"/>
        <v>0</v>
      </c>
      <c r="AR80" s="63">
        <f t="shared" si="4"/>
        <v>0</v>
      </c>
      <c r="AS80" s="63">
        <f t="shared" si="5"/>
        <v>0</v>
      </c>
    </row>
    <row r="81" ht="15.75" customHeight="1">
      <c r="A81" s="63" t="s">
        <v>992</v>
      </c>
      <c r="W81" s="64"/>
      <c r="AO81" s="63">
        <f t="shared" si="1"/>
        <v>0</v>
      </c>
      <c r="AP81" s="63">
        <f t="shared" si="2"/>
        <v>0</v>
      </c>
      <c r="AQ81" s="63">
        <f t="shared" si="3"/>
        <v>0</v>
      </c>
      <c r="AR81" s="63">
        <f t="shared" si="4"/>
        <v>0</v>
      </c>
      <c r="AS81" s="63">
        <f t="shared" si="5"/>
        <v>0</v>
      </c>
    </row>
    <row r="82" ht="15.75" customHeight="1">
      <c r="A82" s="63" t="s">
        <v>273</v>
      </c>
      <c r="W82" s="64"/>
      <c r="AO82" s="63">
        <f t="shared" si="1"/>
        <v>0</v>
      </c>
      <c r="AP82" s="63">
        <f t="shared" si="2"/>
        <v>0</v>
      </c>
      <c r="AQ82" s="63">
        <f t="shared" si="3"/>
        <v>0</v>
      </c>
      <c r="AR82" s="63">
        <f t="shared" si="4"/>
        <v>0</v>
      </c>
      <c r="AS82" s="63">
        <f t="shared" si="5"/>
        <v>0</v>
      </c>
    </row>
    <row r="83" ht="15.75" customHeight="1">
      <c r="A83" s="63" t="s">
        <v>977</v>
      </c>
      <c r="W83" s="64"/>
      <c r="AO83" s="63">
        <f t="shared" si="1"/>
        <v>0</v>
      </c>
      <c r="AP83" s="63">
        <f t="shared" si="2"/>
        <v>0</v>
      </c>
      <c r="AQ83" s="63">
        <f t="shared" si="3"/>
        <v>0</v>
      </c>
      <c r="AR83" s="63">
        <f t="shared" si="4"/>
        <v>0</v>
      </c>
      <c r="AS83" s="63">
        <f t="shared" si="5"/>
        <v>0</v>
      </c>
    </row>
    <row r="84" ht="15.75" customHeight="1">
      <c r="A84" s="63" t="s">
        <v>1013</v>
      </c>
      <c r="W84" s="64"/>
      <c r="AO84" s="63">
        <f t="shared" si="1"/>
        <v>0</v>
      </c>
      <c r="AP84" s="63">
        <f t="shared" si="2"/>
        <v>0</v>
      </c>
      <c r="AQ84" s="63">
        <f t="shared" si="3"/>
        <v>0</v>
      </c>
      <c r="AR84" s="63">
        <f t="shared" si="4"/>
        <v>0</v>
      </c>
      <c r="AS84" s="63">
        <f t="shared" si="5"/>
        <v>0</v>
      </c>
    </row>
    <row r="85" ht="15.75" customHeight="1">
      <c r="A85" s="63" t="s">
        <v>1021</v>
      </c>
      <c r="W85" s="64"/>
      <c r="AO85" s="63">
        <f t="shared" si="1"/>
        <v>0</v>
      </c>
      <c r="AP85" s="63">
        <f t="shared" si="2"/>
        <v>0</v>
      </c>
      <c r="AQ85" s="63">
        <f t="shared" si="3"/>
        <v>0</v>
      </c>
      <c r="AR85" s="63">
        <f t="shared" si="4"/>
        <v>0</v>
      </c>
      <c r="AS85" s="63">
        <f t="shared" si="5"/>
        <v>0</v>
      </c>
    </row>
    <row r="86" ht="15.75" customHeight="1">
      <c r="A86" s="63" t="s">
        <v>984</v>
      </c>
      <c r="D86" s="63">
        <v>223.0</v>
      </c>
      <c r="O86" s="63">
        <v>30.0</v>
      </c>
      <c r="Q86" s="63">
        <v>193.0</v>
      </c>
      <c r="W86" s="64"/>
      <c r="AO86" s="63">
        <f t="shared" si="1"/>
        <v>223</v>
      </c>
      <c r="AP86" s="63">
        <f t="shared" si="2"/>
        <v>223</v>
      </c>
      <c r="AQ86" s="63">
        <f t="shared" si="3"/>
        <v>0</v>
      </c>
      <c r="AR86" s="63">
        <f t="shared" si="4"/>
        <v>0</v>
      </c>
      <c r="AS86" s="63">
        <f t="shared" si="5"/>
        <v>0</v>
      </c>
    </row>
    <row r="87" ht="15.75" customHeight="1">
      <c r="A87" s="63" t="s">
        <v>442</v>
      </c>
      <c r="W87" s="64"/>
      <c r="AO87" s="63">
        <f t="shared" si="1"/>
        <v>0</v>
      </c>
      <c r="AP87" s="63">
        <f t="shared" si="2"/>
        <v>0</v>
      </c>
      <c r="AQ87" s="63">
        <f t="shared" si="3"/>
        <v>0</v>
      </c>
      <c r="AR87" s="63">
        <f t="shared" si="4"/>
        <v>0</v>
      </c>
      <c r="AS87" s="63">
        <f t="shared" si="5"/>
        <v>0</v>
      </c>
    </row>
    <row r="88" ht="15.75" customHeight="1">
      <c r="A88" s="63" t="s">
        <v>285</v>
      </c>
      <c r="W88" s="64"/>
      <c r="AO88" s="63">
        <f t="shared" si="1"/>
        <v>0</v>
      </c>
      <c r="AP88" s="63">
        <f t="shared" si="2"/>
        <v>0</v>
      </c>
      <c r="AQ88" s="63">
        <f t="shared" si="3"/>
        <v>0</v>
      </c>
      <c r="AR88" s="63">
        <f t="shared" si="4"/>
        <v>0</v>
      </c>
      <c r="AS88" s="63">
        <f t="shared" si="5"/>
        <v>0</v>
      </c>
    </row>
    <row r="89" ht="15.75" customHeight="1">
      <c r="A89" s="63" t="s">
        <v>583</v>
      </c>
      <c r="W89" s="64"/>
      <c r="AO89" s="63">
        <f t="shared" si="1"/>
        <v>0</v>
      </c>
      <c r="AP89" s="63">
        <f t="shared" si="2"/>
        <v>0</v>
      </c>
      <c r="AQ89" s="63">
        <f t="shared" si="3"/>
        <v>0</v>
      </c>
      <c r="AR89" s="63">
        <f t="shared" si="4"/>
        <v>0</v>
      </c>
      <c r="AS89" s="63">
        <f t="shared" si="5"/>
        <v>0</v>
      </c>
    </row>
    <row r="90" ht="15.75" customHeight="1">
      <c r="A90" s="63" t="s">
        <v>497</v>
      </c>
      <c r="W90" s="64"/>
      <c r="AO90" s="63">
        <f t="shared" si="1"/>
        <v>0</v>
      </c>
      <c r="AP90" s="63">
        <f t="shared" si="2"/>
        <v>0</v>
      </c>
      <c r="AQ90" s="63">
        <f t="shared" si="3"/>
        <v>0</v>
      </c>
      <c r="AR90" s="63">
        <f t="shared" si="4"/>
        <v>0</v>
      </c>
      <c r="AS90" s="63">
        <f t="shared" si="5"/>
        <v>0</v>
      </c>
    </row>
    <row r="91" ht="15.75" customHeight="1">
      <c r="A91" s="63" t="s">
        <v>325</v>
      </c>
      <c r="W91" s="64"/>
      <c r="AO91" s="63">
        <f t="shared" si="1"/>
        <v>0</v>
      </c>
      <c r="AP91" s="63">
        <f t="shared" si="2"/>
        <v>0</v>
      </c>
      <c r="AQ91" s="63">
        <f t="shared" si="3"/>
        <v>0</v>
      </c>
      <c r="AR91" s="63">
        <f t="shared" si="4"/>
        <v>0</v>
      </c>
      <c r="AS91" s="63">
        <f t="shared" si="5"/>
        <v>0</v>
      </c>
    </row>
    <row r="92" ht="15.75" customHeight="1">
      <c r="A92" s="63" t="s">
        <v>464</v>
      </c>
      <c r="W92" s="64"/>
      <c r="AO92" s="63">
        <f t="shared" si="1"/>
        <v>0</v>
      </c>
      <c r="AP92" s="63">
        <f t="shared" si="2"/>
        <v>0</v>
      </c>
      <c r="AQ92" s="63">
        <f t="shared" si="3"/>
        <v>0</v>
      </c>
      <c r="AR92" s="63">
        <f t="shared" si="4"/>
        <v>0</v>
      </c>
      <c r="AS92" s="63">
        <f t="shared" si="5"/>
        <v>0</v>
      </c>
    </row>
    <row r="93" ht="15.75" customHeight="1">
      <c r="A93" s="63" t="s">
        <v>684</v>
      </c>
      <c r="W93" s="64"/>
      <c r="AO93" s="63">
        <f t="shared" si="1"/>
        <v>0</v>
      </c>
      <c r="AP93" s="63">
        <f t="shared" si="2"/>
        <v>0</v>
      </c>
      <c r="AQ93" s="63">
        <f t="shared" si="3"/>
        <v>0</v>
      </c>
      <c r="AR93" s="63">
        <f t="shared" si="4"/>
        <v>0</v>
      </c>
      <c r="AS93" s="63">
        <f t="shared" si="5"/>
        <v>0</v>
      </c>
    </row>
    <row r="94" ht="15.75" customHeight="1">
      <c r="A94" s="63" t="s">
        <v>390</v>
      </c>
      <c r="W94" s="64"/>
      <c r="AO94" s="63">
        <f t="shared" si="1"/>
        <v>0</v>
      </c>
      <c r="AP94" s="63">
        <f t="shared" si="2"/>
        <v>0</v>
      </c>
      <c r="AQ94" s="63">
        <f t="shared" si="3"/>
        <v>0</v>
      </c>
      <c r="AR94" s="63">
        <f t="shared" si="4"/>
        <v>0</v>
      </c>
      <c r="AS94" s="63">
        <f t="shared" si="5"/>
        <v>0</v>
      </c>
    </row>
    <row r="95" ht="15.75" customHeight="1">
      <c r="A95" s="63" t="s">
        <v>878</v>
      </c>
      <c r="W95" s="64"/>
      <c r="AO95" s="63">
        <f t="shared" si="1"/>
        <v>0</v>
      </c>
      <c r="AP95" s="63">
        <f t="shared" si="2"/>
        <v>0</v>
      </c>
      <c r="AQ95" s="63">
        <f t="shared" si="3"/>
        <v>0</v>
      </c>
      <c r="AR95" s="63">
        <f t="shared" si="4"/>
        <v>0</v>
      </c>
      <c r="AS95" s="63">
        <f t="shared" si="5"/>
        <v>0</v>
      </c>
    </row>
    <row r="96" ht="15.75" customHeight="1">
      <c r="A96" s="63" t="s">
        <v>1049</v>
      </c>
      <c r="W96" s="64"/>
      <c r="AO96" s="63">
        <f t="shared" si="1"/>
        <v>0</v>
      </c>
      <c r="AP96" s="63">
        <f t="shared" si="2"/>
        <v>0</v>
      </c>
      <c r="AQ96" s="63">
        <f t="shared" si="3"/>
        <v>0</v>
      </c>
      <c r="AR96" s="63">
        <f t="shared" si="4"/>
        <v>0</v>
      </c>
      <c r="AS96" s="63">
        <f t="shared" si="5"/>
        <v>0</v>
      </c>
    </row>
    <row r="97" ht="15.75" customHeight="1">
      <c r="A97" s="63" t="s">
        <v>827</v>
      </c>
      <c r="E97" s="63">
        <v>1.0</v>
      </c>
      <c r="J97" s="63">
        <v>1.0</v>
      </c>
      <c r="U97" s="63">
        <v>5.0</v>
      </c>
      <c r="W97" s="64"/>
      <c r="X97" s="63">
        <v>1.0</v>
      </c>
      <c r="Y97" s="63">
        <v>1.0</v>
      </c>
      <c r="AD97" s="63">
        <v>2.0</v>
      </c>
      <c r="AO97" s="63">
        <f t="shared" si="1"/>
        <v>3</v>
      </c>
      <c r="AP97" s="63">
        <f t="shared" si="2"/>
        <v>3</v>
      </c>
      <c r="AQ97" s="63">
        <f t="shared" si="3"/>
        <v>0</v>
      </c>
      <c r="AR97" s="63">
        <f t="shared" si="4"/>
        <v>0</v>
      </c>
      <c r="AS97" s="63">
        <f t="shared" si="5"/>
        <v>0</v>
      </c>
    </row>
    <row r="98" ht="15.75" customHeight="1">
      <c r="A98" s="63" t="s">
        <v>1009</v>
      </c>
      <c r="W98" s="64"/>
      <c r="AO98" s="63">
        <f t="shared" si="1"/>
        <v>0</v>
      </c>
      <c r="AP98" s="63">
        <f t="shared" si="2"/>
        <v>0</v>
      </c>
      <c r="AQ98" s="63">
        <f t="shared" si="3"/>
        <v>0</v>
      </c>
      <c r="AR98" s="63">
        <f t="shared" si="4"/>
        <v>0</v>
      </c>
      <c r="AS98" s="63">
        <f t="shared" si="5"/>
        <v>0</v>
      </c>
    </row>
    <row r="99" ht="15.75" customHeight="1">
      <c r="A99" s="63" t="s">
        <v>678</v>
      </c>
      <c r="B99" s="63">
        <v>5.0</v>
      </c>
      <c r="S99" s="63">
        <v>5.0</v>
      </c>
      <c r="U99" s="63">
        <v>365.0</v>
      </c>
      <c r="W99" s="64"/>
      <c r="AO99" s="63">
        <f t="shared" si="1"/>
        <v>5</v>
      </c>
      <c r="AP99" s="63">
        <f t="shared" si="2"/>
        <v>0</v>
      </c>
      <c r="AQ99" s="63">
        <f t="shared" si="3"/>
        <v>5</v>
      </c>
      <c r="AR99" s="63">
        <f t="shared" si="4"/>
        <v>5</v>
      </c>
      <c r="AS99" s="63">
        <f t="shared" si="5"/>
        <v>0</v>
      </c>
    </row>
    <row r="100" ht="15.75" customHeight="1">
      <c r="A100" s="63" t="s">
        <v>872</v>
      </c>
      <c r="W100" s="64"/>
      <c r="AO100" s="63">
        <f t="shared" si="1"/>
        <v>0</v>
      </c>
      <c r="AP100" s="63">
        <f t="shared" si="2"/>
        <v>0</v>
      </c>
      <c r="AQ100" s="63">
        <f t="shared" si="3"/>
        <v>0</v>
      </c>
      <c r="AR100" s="63">
        <f t="shared" si="4"/>
        <v>0</v>
      </c>
      <c r="AS100" s="63">
        <f t="shared" si="5"/>
        <v>0</v>
      </c>
    </row>
    <row r="101" ht="15.75" customHeight="1">
      <c r="A101" s="63" t="s">
        <v>241</v>
      </c>
      <c r="W101" s="64"/>
      <c r="AO101" s="63">
        <f t="shared" si="1"/>
        <v>0</v>
      </c>
      <c r="AP101" s="63">
        <f t="shared" si="2"/>
        <v>0</v>
      </c>
      <c r="AQ101" s="63">
        <f t="shared" si="3"/>
        <v>0</v>
      </c>
      <c r="AR101" s="63">
        <f t="shared" si="4"/>
        <v>0</v>
      </c>
      <c r="AS101" s="63">
        <f t="shared" si="5"/>
        <v>0</v>
      </c>
    </row>
    <row r="102" ht="15.75" customHeight="1">
      <c r="A102" s="63" t="s">
        <v>796</v>
      </c>
      <c r="B102" s="63">
        <v>18.0</v>
      </c>
      <c r="D102" s="63">
        <v>174.0</v>
      </c>
      <c r="E102" s="63">
        <v>121.0</v>
      </c>
      <c r="H102" s="63">
        <v>4.0</v>
      </c>
      <c r="I102" s="63">
        <v>19.0</v>
      </c>
      <c r="J102" s="63">
        <v>248.0</v>
      </c>
      <c r="K102" s="63">
        <v>9.0</v>
      </c>
      <c r="L102" s="63">
        <v>54.0</v>
      </c>
      <c r="O102" s="63">
        <v>3.0</v>
      </c>
      <c r="P102" s="63">
        <v>2.0</v>
      </c>
      <c r="Q102" s="63">
        <v>7.0</v>
      </c>
      <c r="S102" s="63">
        <v>13.0</v>
      </c>
      <c r="U102" s="63">
        <v>20.0</v>
      </c>
      <c r="W102" s="64"/>
      <c r="X102" s="63">
        <v>124.0</v>
      </c>
      <c r="Y102" s="63">
        <v>176.0</v>
      </c>
      <c r="AB102" s="63">
        <v>1.0</v>
      </c>
      <c r="AC102" s="63">
        <v>2.0</v>
      </c>
      <c r="AD102" s="63">
        <v>157.0</v>
      </c>
      <c r="AE102" s="63">
        <v>2.0</v>
      </c>
      <c r="AF102" s="63">
        <v>97.0</v>
      </c>
      <c r="AI102" s="63">
        <v>35.0</v>
      </c>
      <c r="AK102" s="63">
        <v>10.0</v>
      </c>
      <c r="AM102" s="63">
        <v>2.0</v>
      </c>
      <c r="AO102" s="63">
        <f t="shared" si="1"/>
        <v>639</v>
      </c>
      <c r="AP102" s="63">
        <f t="shared" si="2"/>
        <v>624</v>
      </c>
      <c r="AQ102" s="63">
        <f t="shared" si="3"/>
        <v>15</v>
      </c>
      <c r="AR102" s="63">
        <f t="shared" si="4"/>
        <v>15</v>
      </c>
      <c r="AS102" s="63">
        <f t="shared" si="5"/>
        <v>0</v>
      </c>
    </row>
    <row r="103" ht="15.75" customHeight="1">
      <c r="A103" s="63" t="s">
        <v>358</v>
      </c>
      <c r="B103" s="63">
        <v>16.0</v>
      </c>
      <c r="D103" s="63">
        <v>29.0</v>
      </c>
      <c r="E103" s="63">
        <v>41.0</v>
      </c>
      <c r="H103" s="63">
        <v>4.0</v>
      </c>
      <c r="J103" s="63">
        <v>68.0</v>
      </c>
      <c r="K103" s="63">
        <v>4.0</v>
      </c>
      <c r="S103" s="63">
        <v>18.0</v>
      </c>
      <c r="U103" s="63">
        <v>69.0</v>
      </c>
      <c r="W103" s="64"/>
      <c r="AO103" s="63">
        <f t="shared" si="1"/>
        <v>90</v>
      </c>
      <c r="AP103" s="63">
        <f t="shared" si="2"/>
        <v>72</v>
      </c>
      <c r="AQ103" s="63">
        <f t="shared" si="3"/>
        <v>18</v>
      </c>
      <c r="AR103" s="63">
        <f t="shared" si="4"/>
        <v>18</v>
      </c>
      <c r="AS103" s="63">
        <f t="shared" si="5"/>
        <v>0</v>
      </c>
    </row>
    <row r="104" ht="15.75" customHeight="1">
      <c r="A104" s="63" t="s">
        <v>1031</v>
      </c>
      <c r="W104" s="64"/>
      <c r="AO104" s="63">
        <f t="shared" si="1"/>
        <v>0</v>
      </c>
      <c r="AP104" s="63">
        <f t="shared" si="2"/>
        <v>0</v>
      </c>
      <c r="AQ104" s="63">
        <f t="shared" si="3"/>
        <v>0</v>
      </c>
      <c r="AR104" s="63">
        <f t="shared" si="4"/>
        <v>0</v>
      </c>
      <c r="AS104" s="63">
        <f t="shared" si="5"/>
        <v>0</v>
      </c>
    </row>
    <row r="105" ht="15.75" customHeight="1">
      <c r="A105" s="63" t="s">
        <v>315</v>
      </c>
      <c r="W105" s="64"/>
      <c r="AO105" s="63">
        <f t="shared" si="1"/>
        <v>0</v>
      </c>
      <c r="AP105" s="63">
        <f t="shared" si="2"/>
        <v>0</v>
      </c>
      <c r="AQ105" s="63">
        <f t="shared" si="3"/>
        <v>0</v>
      </c>
      <c r="AR105" s="63">
        <f t="shared" si="4"/>
        <v>0</v>
      </c>
      <c r="AS105" s="63">
        <f t="shared" si="5"/>
        <v>0</v>
      </c>
    </row>
    <row r="106" ht="15.75" customHeight="1">
      <c r="A106" s="63" t="s">
        <v>580</v>
      </c>
      <c r="W106" s="64"/>
      <c r="AO106" s="63">
        <f t="shared" si="1"/>
        <v>0</v>
      </c>
      <c r="AP106" s="63">
        <f t="shared" si="2"/>
        <v>0</v>
      </c>
      <c r="AQ106" s="63">
        <f t="shared" si="3"/>
        <v>0</v>
      </c>
      <c r="AR106" s="63">
        <f t="shared" si="4"/>
        <v>0</v>
      </c>
      <c r="AS106" s="63">
        <f t="shared" si="5"/>
        <v>0</v>
      </c>
    </row>
    <row r="107" ht="15.75" customHeight="1">
      <c r="A107" s="63" t="s">
        <v>550</v>
      </c>
      <c r="D107" s="63">
        <v>9.0</v>
      </c>
      <c r="K107" s="63">
        <v>6.0</v>
      </c>
      <c r="L107" s="63">
        <v>3.0</v>
      </c>
      <c r="U107" s="63">
        <v>5.11</v>
      </c>
      <c r="W107" s="64"/>
      <c r="AO107" s="63">
        <f t="shared" si="1"/>
        <v>9</v>
      </c>
      <c r="AP107" s="63">
        <f t="shared" si="2"/>
        <v>9</v>
      </c>
      <c r="AQ107" s="63">
        <f t="shared" si="3"/>
        <v>0</v>
      </c>
      <c r="AR107" s="63">
        <f t="shared" si="4"/>
        <v>0</v>
      </c>
      <c r="AS107" s="63">
        <f t="shared" si="5"/>
        <v>0</v>
      </c>
    </row>
    <row r="108" ht="15.75" customHeight="1">
      <c r="A108" s="63" t="s">
        <v>887</v>
      </c>
      <c r="C108" s="63">
        <v>8.0</v>
      </c>
      <c r="E108" s="63">
        <v>2.0</v>
      </c>
      <c r="H108" s="63">
        <v>15.0</v>
      </c>
      <c r="J108" s="63">
        <v>17.0</v>
      </c>
      <c r="Q108" s="63">
        <v>1.0</v>
      </c>
      <c r="T108" s="63">
        <v>7.0</v>
      </c>
      <c r="U108" s="63">
        <v>443.0</v>
      </c>
      <c r="W108" s="64"/>
      <c r="AB108" s="63">
        <v>14.0</v>
      </c>
      <c r="AD108" s="63">
        <v>10.0</v>
      </c>
      <c r="AI108" s="63">
        <v>1.0</v>
      </c>
      <c r="AN108" s="63">
        <v>3.0</v>
      </c>
      <c r="AO108" s="63">
        <f t="shared" si="1"/>
        <v>39</v>
      </c>
      <c r="AP108" s="63">
        <f t="shared" si="2"/>
        <v>29</v>
      </c>
      <c r="AQ108" s="63">
        <f t="shared" si="3"/>
        <v>10</v>
      </c>
      <c r="AR108" s="63">
        <f t="shared" si="4"/>
        <v>10</v>
      </c>
      <c r="AS108" s="63">
        <f t="shared" si="5"/>
        <v>0</v>
      </c>
    </row>
    <row r="109" ht="15.75" customHeight="1">
      <c r="A109" s="63" t="s">
        <v>1003</v>
      </c>
      <c r="W109" s="64"/>
      <c r="AO109" s="63">
        <f t="shared" si="1"/>
        <v>0</v>
      </c>
      <c r="AP109" s="63">
        <f t="shared" si="2"/>
        <v>0</v>
      </c>
      <c r="AQ109" s="63">
        <f t="shared" si="3"/>
        <v>0</v>
      </c>
      <c r="AR109" s="63">
        <f t="shared" si="4"/>
        <v>0</v>
      </c>
      <c r="AS109" s="63">
        <f t="shared" si="5"/>
        <v>0</v>
      </c>
    </row>
    <row r="110" ht="15.75" customHeight="1">
      <c r="A110" s="63" t="s">
        <v>925</v>
      </c>
      <c r="D110" s="63">
        <v>4.0</v>
      </c>
      <c r="E110" s="63">
        <v>19.0</v>
      </c>
      <c r="J110" s="63">
        <v>4.0</v>
      </c>
      <c r="L110" s="63">
        <v>19.0</v>
      </c>
      <c r="U110" s="63">
        <v>45.0</v>
      </c>
      <c r="W110" s="64"/>
      <c r="X110" s="63">
        <v>8.0</v>
      </c>
      <c r="Y110" s="63">
        <v>30.0</v>
      </c>
      <c r="AD110" s="63">
        <v>8.0</v>
      </c>
      <c r="AF110" s="63">
        <v>30.0</v>
      </c>
      <c r="AO110" s="63">
        <f t="shared" si="1"/>
        <v>61</v>
      </c>
      <c r="AP110" s="63">
        <f t="shared" si="2"/>
        <v>61</v>
      </c>
      <c r="AQ110" s="63">
        <f t="shared" si="3"/>
        <v>0</v>
      </c>
      <c r="AR110" s="63">
        <f t="shared" si="4"/>
        <v>0</v>
      </c>
      <c r="AS110" s="63">
        <f t="shared" si="5"/>
        <v>0</v>
      </c>
    </row>
    <row r="111" ht="15.75" customHeight="1">
      <c r="A111" s="63" t="s">
        <v>614</v>
      </c>
      <c r="E111" s="63">
        <v>13.0</v>
      </c>
      <c r="G111" s="63">
        <v>16.0</v>
      </c>
      <c r="J111" s="63">
        <v>29.0</v>
      </c>
      <c r="U111" s="63">
        <v>12.0</v>
      </c>
      <c r="W111" s="64"/>
      <c r="Y111" s="63">
        <v>32.0</v>
      </c>
      <c r="AA111" s="63">
        <v>83.0</v>
      </c>
      <c r="AD111" s="63">
        <v>114.0</v>
      </c>
      <c r="AI111" s="63">
        <v>1.0</v>
      </c>
      <c r="AO111" s="63">
        <f t="shared" si="1"/>
        <v>144</v>
      </c>
      <c r="AP111" s="63">
        <f t="shared" si="2"/>
        <v>144</v>
      </c>
      <c r="AQ111" s="63">
        <f t="shared" si="3"/>
        <v>0</v>
      </c>
      <c r="AR111" s="63">
        <f t="shared" si="4"/>
        <v>0</v>
      </c>
      <c r="AS111" s="63">
        <f t="shared" si="5"/>
        <v>0</v>
      </c>
    </row>
    <row r="112" ht="15.75" customHeight="1">
      <c r="A112" s="63" t="s">
        <v>547</v>
      </c>
      <c r="W112" s="64"/>
      <c r="AO112" s="63">
        <f t="shared" si="1"/>
        <v>0</v>
      </c>
      <c r="AP112" s="63">
        <f t="shared" si="2"/>
        <v>0</v>
      </c>
      <c r="AQ112" s="63">
        <f t="shared" si="3"/>
        <v>0</v>
      </c>
      <c r="AR112" s="63">
        <f t="shared" si="4"/>
        <v>0</v>
      </c>
      <c r="AS112" s="63">
        <f t="shared" si="5"/>
        <v>0</v>
      </c>
    </row>
    <row r="113" ht="15.75" customHeight="1">
      <c r="A113" s="63" t="s">
        <v>544</v>
      </c>
      <c r="W113" s="64"/>
      <c r="AO113" s="63">
        <f t="shared" si="1"/>
        <v>0</v>
      </c>
      <c r="AP113" s="63">
        <f t="shared" si="2"/>
        <v>0</v>
      </c>
      <c r="AQ113" s="63">
        <f t="shared" si="3"/>
        <v>0</v>
      </c>
      <c r="AR113" s="63">
        <f t="shared" si="4"/>
        <v>0</v>
      </c>
      <c r="AS113" s="63">
        <f t="shared" si="5"/>
        <v>0</v>
      </c>
    </row>
    <row r="114" ht="15.75" customHeight="1">
      <c r="A114" s="63" t="s">
        <v>962</v>
      </c>
      <c r="W114" s="64"/>
      <c r="AO114" s="63">
        <f t="shared" si="1"/>
        <v>0</v>
      </c>
      <c r="AP114" s="63">
        <f t="shared" si="2"/>
        <v>0</v>
      </c>
      <c r="AQ114" s="63">
        <f t="shared" si="3"/>
        <v>0</v>
      </c>
      <c r="AR114" s="63">
        <f t="shared" si="4"/>
        <v>0</v>
      </c>
      <c r="AS114" s="63">
        <f t="shared" si="5"/>
        <v>0</v>
      </c>
    </row>
    <row r="115" ht="15.75" customHeight="1">
      <c r="A115" s="63" t="s">
        <v>455</v>
      </c>
      <c r="W115" s="64"/>
      <c r="AO115" s="63">
        <f t="shared" si="1"/>
        <v>0</v>
      </c>
      <c r="AP115" s="63">
        <f t="shared" si="2"/>
        <v>0</v>
      </c>
      <c r="AQ115" s="63">
        <f t="shared" si="3"/>
        <v>0</v>
      </c>
      <c r="AR115" s="63">
        <f t="shared" si="4"/>
        <v>0</v>
      </c>
      <c r="AS115" s="63">
        <f t="shared" si="5"/>
        <v>0</v>
      </c>
    </row>
    <row r="116" ht="15.75" customHeight="1">
      <c r="A116" s="63" t="s">
        <v>848</v>
      </c>
      <c r="W116" s="64"/>
      <c r="X116" s="63">
        <v>1.0</v>
      </c>
      <c r="AF116" s="63">
        <v>1.0</v>
      </c>
      <c r="AO116" s="63">
        <f t="shared" si="1"/>
        <v>1</v>
      </c>
      <c r="AP116" s="63">
        <f t="shared" si="2"/>
        <v>1</v>
      </c>
      <c r="AQ116" s="63">
        <f t="shared" si="3"/>
        <v>0</v>
      </c>
      <c r="AR116" s="63">
        <f t="shared" si="4"/>
        <v>0</v>
      </c>
      <c r="AS116" s="63">
        <f t="shared" si="5"/>
        <v>0</v>
      </c>
    </row>
    <row r="117" ht="15.75" customHeight="1">
      <c r="A117" s="63" t="s">
        <v>962</v>
      </c>
      <c r="W117" s="64"/>
      <c r="AO117" s="63">
        <f t="shared" si="1"/>
        <v>0</v>
      </c>
      <c r="AP117" s="63">
        <f t="shared" si="2"/>
        <v>0</v>
      </c>
      <c r="AQ117" s="63">
        <f t="shared" si="3"/>
        <v>0</v>
      </c>
      <c r="AR117" s="63">
        <f t="shared" si="4"/>
        <v>0</v>
      </c>
      <c r="AS117" s="63">
        <f t="shared" si="5"/>
        <v>0</v>
      </c>
    </row>
    <row r="118" ht="15.75" customHeight="1">
      <c r="A118" s="63" t="s">
        <v>355</v>
      </c>
      <c r="W118" s="64"/>
      <c r="AO118" s="63">
        <f t="shared" si="1"/>
        <v>0</v>
      </c>
      <c r="AP118" s="63">
        <f t="shared" si="2"/>
        <v>0</v>
      </c>
      <c r="AQ118" s="63">
        <f t="shared" si="3"/>
        <v>0</v>
      </c>
      <c r="AR118" s="63">
        <f t="shared" si="4"/>
        <v>0</v>
      </c>
      <c r="AS118" s="63">
        <f t="shared" si="5"/>
        <v>0</v>
      </c>
    </row>
    <row r="119" ht="15.75" customHeight="1">
      <c r="A119" s="63" t="s">
        <v>296</v>
      </c>
      <c r="W119" s="64"/>
      <c r="AO119" s="63">
        <f t="shared" si="1"/>
        <v>0</v>
      </c>
      <c r="AP119" s="63">
        <f t="shared" si="2"/>
        <v>0</v>
      </c>
      <c r="AQ119" s="63">
        <f t="shared" si="3"/>
        <v>0</v>
      </c>
      <c r="AR119" s="63">
        <f t="shared" si="4"/>
        <v>0</v>
      </c>
      <c r="AS119" s="63">
        <f t="shared" si="5"/>
        <v>0</v>
      </c>
    </row>
    <row r="120" ht="15.75" customHeight="1">
      <c r="A120" s="63" t="s">
        <v>817</v>
      </c>
      <c r="W120" s="64"/>
      <c r="AO120" s="63">
        <f t="shared" si="1"/>
        <v>0</v>
      </c>
      <c r="AP120" s="63">
        <f t="shared" si="2"/>
        <v>0</v>
      </c>
      <c r="AQ120" s="63">
        <f t="shared" si="3"/>
        <v>0</v>
      </c>
      <c r="AR120" s="63">
        <f t="shared" si="4"/>
        <v>0</v>
      </c>
      <c r="AS120" s="63">
        <f t="shared" si="5"/>
        <v>0</v>
      </c>
    </row>
    <row r="121" ht="15.75" customHeight="1">
      <c r="A121" s="63" t="s">
        <v>656</v>
      </c>
      <c r="W121" s="64"/>
      <c r="AO121" s="63">
        <f t="shared" si="1"/>
        <v>0</v>
      </c>
      <c r="AP121" s="63">
        <f t="shared" si="2"/>
        <v>0</v>
      </c>
      <c r="AQ121" s="63">
        <f t="shared" si="3"/>
        <v>0</v>
      </c>
      <c r="AR121" s="63">
        <f t="shared" si="4"/>
        <v>0</v>
      </c>
      <c r="AS121" s="63">
        <f t="shared" si="5"/>
        <v>0</v>
      </c>
    </row>
    <row r="122" ht="15.75" customHeight="1">
      <c r="A122" s="63" t="s">
        <v>860</v>
      </c>
      <c r="W122" s="64"/>
      <c r="AO122" s="63">
        <f t="shared" si="1"/>
        <v>0</v>
      </c>
      <c r="AP122" s="63">
        <f t="shared" si="2"/>
        <v>0</v>
      </c>
      <c r="AQ122" s="63">
        <f t="shared" si="3"/>
        <v>0</v>
      </c>
      <c r="AR122" s="63">
        <f t="shared" si="4"/>
        <v>0</v>
      </c>
      <c r="AS122" s="63">
        <f t="shared" si="5"/>
        <v>0</v>
      </c>
    </row>
    <row r="123" ht="15.75" customHeight="1">
      <c r="A123" s="63" t="s">
        <v>775</v>
      </c>
      <c r="C123" s="63">
        <v>1.0</v>
      </c>
      <c r="J123" s="63">
        <v>1.0</v>
      </c>
      <c r="U123" s="63">
        <v>90.0</v>
      </c>
      <c r="W123" s="64"/>
      <c r="AO123" s="63">
        <f t="shared" si="1"/>
        <v>1</v>
      </c>
      <c r="AP123" s="63">
        <f t="shared" si="2"/>
        <v>1</v>
      </c>
      <c r="AQ123" s="63">
        <f t="shared" si="3"/>
        <v>0</v>
      </c>
      <c r="AR123" s="63">
        <f t="shared" si="4"/>
        <v>0</v>
      </c>
      <c r="AS123" s="63">
        <f t="shared" si="5"/>
        <v>0</v>
      </c>
    </row>
    <row r="124" ht="15.75" customHeight="1">
      <c r="A124" s="63" t="s">
        <v>896</v>
      </c>
      <c r="W124" s="64"/>
      <c r="AO124" s="63">
        <f t="shared" si="1"/>
        <v>0</v>
      </c>
      <c r="AP124" s="63">
        <f t="shared" si="2"/>
        <v>0</v>
      </c>
      <c r="AQ124" s="63">
        <f t="shared" si="3"/>
        <v>0</v>
      </c>
      <c r="AR124" s="63">
        <f t="shared" si="4"/>
        <v>0</v>
      </c>
      <c r="AS124" s="63">
        <f t="shared" si="5"/>
        <v>0</v>
      </c>
    </row>
    <row r="125" ht="15.75" customHeight="1">
      <c r="A125" s="63" t="s">
        <v>793</v>
      </c>
      <c r="W125" s="64"/>
      <c r="AO125" s="63">
        <f t="shared" si="1"/>
        <v>0</v>
      </c>
      <c r="AP125" s="63">
        <f t="shared" si="2"/>
        <v>0</v>
      </c>
      <c r="AQ125" s="63">
        <f t="shared" si="3"/>
        <v>0</v>
      </c>
      <c r="AR125" s="63">
        <f t="shared" si="4"/>
        <v>0</v>
      </c>
      <c r="AS125" s="63">
        <f t="shared" si="5"/>
        <v>0</v>
      </c>
    </row>
    <row r="126" ht="15.75" customHeight="1">
      <c r="A126" s="63" t="s">
        <v>909</v>
      </c>
      <c r="W126" s="64"/>
      <c r="AO126" s="63">
        <f t="shared" si="1"/>
        <v>0</v>
      </c>
      <c r="AP126" s="63">
        <f t="shared" si="2"/>
        <v>0</v>
      </c>
      <c r="AQ126" s="63">
        <f t="shared" si="3"/>
        <v>0</v>
      </c>
      <c r="AR126" s="63">
        <f t="shared" si="4"/>
        <v>0</v>
      </c>
      <c r="AS126" s="63">
        <f t="shared" si="5"/>
        <v>0</v>
      </c>
    </row>
    <row r="127" ht="15.75" customHeight="1">
      <c r="A127" s="63" t="s">
        <v>851</v>
      </c>
      <c r="B127" s="63">
        <v>22.0</v>
      </c>
      <c r="C127" s="63">
        <v>3.0</v>
      </c>
      <c r="D127" s="63">
        <v>689.0</v>
      </c>
      <c r="E127" s="63">
        <v>220.0</v>
      </c>
      <c r="F127" s="63">
        <v>112.0</v>
      </c>
      <c r="G127" s="63">
        <v>24.0</v>
      </c>
      <c r="I127" s="63">
        <v>1045.0</v>
      </c>
      <c r="J127" s="63">
        <v>271.0</v>
      </c>
      <c r="K127" s="63">
        <v>54.0</v>
      </c>
      <c r="L127" s="63">
        <v>167.0</v>
      </c>
      <c r="N127" s="63">
        <v>1147.0</v>
      </c>
      <c r="O127" s="63">
        <v>27.0</v>
      </c>
      <c r="Q127" s="63">
        <v>331.0</v>
      </c>
      <c r="R127" s="63">
        <v>111.0</v>
      </c>
      <c r="S127" s="63">
        <v>13.0</v>
      </c>
      <c r="T127" s="63">
        <v>1.0</v>
      </c>
      <c r="U127" s="63">
        <v>7.0</v>
      </c>
      <c r="V127" s="63">
        <v>8.0</v>
      </c>
      <c r="W127" s="64">
        <v>7.0</v>
      </c>
      <c r="X127" s="63">
        <v>605.0</v>
      </c>
      <c r="Y127" s="63">
        <v>154.0</v>
      </c>
      <c r="Z127" s="63">
        <v>37.0</v>
      </c>
      <c r="AA127" s="63">
        <v>9.0</v>
      </c>
      <c r="AC127" s="63">
        <v>232.0</v>
      </c>
      <c r="AD127" s="63">
        <v>195.0</v>
      </c>
      <c r="AE127" s="63">
        <v>9.0</v>
      </c>
      <c r="AF127" s="63">
        <v>261.0</v>
      </c>
      <c r="AG127" s="63">
        <v>1.0</v>
      </c>
      <c r="AH127" s="63">
        <v>223.0</v>
      </c>
      <c r="AI127" s="63">
        <v>23.0</v>
      </c>
      <c r="AK127" s="63">
        <v>287.0</v>
      </c>
      <c r="AL127" s="63">
        <v>37.0</v>
      </c>
      <c r="AM127" s="63">
        <v>4.0</v>
      </c>
      <c r="AN127" s="63">
        <v>5.0</v>
      </c>
      <c r="AO127" s="63">
        <f t="shared" si="1"/>
        <v>3167</v>
      </c>
      <c r="AP127" s="63">
        <f t="shared" si="2"/>
        <v>3144</v>
      </c>
      <c r="AQ127" s="63">
        <f t="shared" si="3"/>
        <v>23</v>
      </c>
      <c r="AR127" s="63">
        <f t="shared" si="4"/>
        <v>23</v>
      </c>
      <c r="AS127" s="63">
        <f t="shared" si="5"/>
        <v>0</v>
      </c>
    </row>
    <row r="128" ht="15.75" customHeight="1">
      <c r="A128" s="63" t="s">
        <v>568</v>
      </c>
      <c r="C128" s="63">
        <v>9.0</v>
      </c>
      <c r="D128" s="63">
        <v>3.0</v>
      </c>
      <c r="E128" s="63">
        <v>14.0</v>
      </c>
      <c r="I128" s="63">
        <v>287.0</v>
      </c>
      <c r="J128" s="63">
        <v>5.0</v>
      </c>
      <c r="K128" s="63">
        <v>1.0</v>
      </c>
      <c r="L128" s="63">
        <v>20.0</v>
      </c>
      <c r="N128" s="63">
        <v>272.0</v>
      </c>
      <c r="Q128" s="63">
        <v>1.0</v>
      </c>
      <c r="T128" s="63">
        <v>14.0</v>
      </c>
      <c r="U128" s="63">
        <v>17.0</v>
      </c>
      <c r="W128" s="64"/>
      <c r="AC128" s="63">
        <v>92.0</v>
      </c>
      <c r="AF128" s="63">
        <v>92.0</v>
      </c>
      <c r="AO128" s="63">
        <f t="shared" si="1"/>
        <v>405</v>
      </c>
      <c r="AP128" s="63">
        <f t="shared" si="2"/>
        <v>391</v>
      </c>
      <c r="AQ128" s="63">
        <f t="shared" si="3"/>
        <v>14</v>
      </c>
      <c r="AR128" s="63">
        <f t="shared" si="4"/>
        <v>14</v>
      </c>
      <c r="AS128" s="63">
        <f t="shared" si="5"/>
        <v>0</v>
      </c>
    </row>
    <row r="129" ht="15.75" customHeight="1">
      <c r="A129" s="63" t="s">
        <v>720</v>
      </c>
      <c r="W129" s="64"/>
      <c r="AO129" s="63">
        <f t="shared" si="1"/>
        <v>0</v>
      </c>
      <c r="AP129" s="63">
        <f t="shared" si="2"/>
        <v>0</v>
      </c>
      <c r="AQ129" s="63">
        <f t="shared" si="3"/>
        <v>0</v>
      </c>
      <c r="AR129" s="63">
        <f t="shared" si="4"/>
        <v>0</v>
      </c>
      <c r="AS129" s="63">
        <f t="shared" si="5"/>
        <v>0</v>
      </c>
    </row>
    <row r="130" ht="15.75" customHeight="1">
      <c r="A130" s="63" t="s">
        <v>915</v>
      </c>
      <c r="D130" s="63">
        <v>1.0</v>
      </c>
      <c r="L130" s="63">
        <v>1.0</v>
      </c>
      <c r="U130" s="63">
        <v>6.0</v>
      </c>
      <c r="W130" s="64"/>
      <c r="AO130" s="63">
        <f t="shared" si="1"/>
        <v>1</v>
      </c>
      <c r="AP130" s="63">
        <f t="shared" si="2"/>
        <v>1</v>
      </c>
      <c r="AQ130" s="63">
        <f t="shared" si="3"/>
        <v>0</v>
      </c>
      <c r="AR130" s="63">
        <f t="shared" si="4"/>
        <v>0</v>
      </c>
      <c r="AS130" s="63">
        <f t="shared" si="5"/>
        <v>0</v>
      </c>
    </row>
    <row r="131" ht="15.75" customHeight="1">
      <c r="A131" s="63" t="s">
        <v>830</v>
      </c>
      <c r="W131" s="64"/>
      <c r="AO131" s="63">
        <f t="shared" si="1"/>
        <v>0</v>
      </c>
      <c r="AP131" s="63">
        <f t="shared" si="2"/>
        <v>0</v>
      </c>
      <c r="AQ131" s="63">
        <f t="shared" si="3"/>
        <v>0</v>
      </c>
      <c r="AR131" s="63">
        <f t="shared" si="4"/>
        <v>0</v>
      </c>
      <c r="AS131" s="63">
        <f t="shared" si="5"/>
        <v>0</v>
      </c>
    </row>
    <row r="132" ht="15.75" customHeight="1">
      <c r="A132" s="63" t="s">
        <v>772</v>
      </c>
      <c r="W132" s="64"/>
      <c r="AO132" s="63">
        <f t="shared" si="1"/>
        <v>0</v>
      </c>
      <c r="AP132" s="63">
        <f t="shared" si="2"/>
        <v>0</v>
      </c>
      <c r="AQ132" s="63">
        <f t="shared" si="3"/>
        <v>0</v>
      </c>
      <c r="AR132" s="63">
        <f t="shared" si="4"/>
        <v>0</v>
      </c>
      <c r="AS132" s="63">
        <f t="shared" si="5"/>
        <v>0</v>
      </c>
    </row>
    <row r="133" ht="15.75" customHeight="1">
      <c r="A133" s="63" t="s">
        <v>833</v>
      </c>
      <c r="W133" s="64"/>
      <c r="AO133" s="63">
        <f t="shared" si="1"/>
        <v>0</v>
      </c>
      <c r="AP133" s="63">
        <f t="shared" si="2"/>
        <v>0</v>
      </c>
      <c r="AQ133" s="63">
        <f t="shared" si="3"/>
        <v>0</v>
      </c>
      <c r="AR133" s="63">
        <f t="shared" si="4"/>
        <v>0</v>
      </c>
      <c r="AS133" s="63">
        <f t="shared" si="5"/>
        <v>0</v>
      </c>
    </row>
    <row r="134" ht="15.75" customHeight="1">
      <c r="A134" s="63" t="s">
        <v>574</v>
      </c>
      <c r="B134" s="63">
        <v>50.0</v>
      </c>
      <c r="C134" s="63">
        <v>64.0</v>
      </c>
      <c r="D134" s="63">
        <v>191.0</v>
      </c>
      <c r="E134" s="63">
        <v>373.0</v>
      </c>
      <c r="G134" s="63">
        <v>186.0</v>
      </c>
      <c r="H134" s="63">
        <v>303.0</v>
      </c>
      <c r="I134" s="63">
        <v>28.0</v>
      </c>
      <c r="J134" s="63">
        <v>1225.0</v>
      </c>
      <c r="K134" s="63">
        <v>20.0</v>
      </c>
      <c r="L134" s="63">
        <v>17.0</v>
      </c>
      <c r="O134" s="63">
        <v>4.0</v>
      </c>
      <c r="Q134" s="63">
        <v>20.0</v>
      </c>
      <c r="S134" s="63">
        <v>66.0</v>
      </c>
      <c r="T134" s="63">
        <v>90.0</v>
      </c>
      <c r="U134" s="63">
        <v>35.9</v>
      </c>
      <c r="V134" s="63">
        <v>2.0</v>
      </c>
      <c r="W134" s="64">
        <v>61.0</v>
      </c>
      <c r="X134" s="63">
        <v>331.0</v>
      </c>
      <c r="Y134" s="63">
        <v>291.0</v>
      </c>
      <c r="AA134" s="63">
        <v>209.0</v>
      </c>
      <c r="AB134" s="63">
        <v>471.0</v>
      </c>
      <c r="AC134" s="63">
        <v>5.0</v>
      </c>
      <c r="AD134" s="63">
        <v>999.0</v>
      </c>
      <c r="AI134" s="63">
        <v>30.0</v>
      </c>
      <c r="AK134" s="63">
        <v>23.0</v>
      </c>
      <c r="AM134" s="63">
        <v>1.0</v>
      </c>
      <c r="AN134" s="63">
        <v>70.0</v>
      </c>
      <c r="AO134" s="63">
        <f t="shared" si="1"/>
        <v>2565</v>
      </c>
      <c r="AP134" s="63">
        <f t="shared" si="2"/>
        <v>2338</v>
      </c>
      <c r="AQ134" s="63">
        <f t="shared" si="3"/>
        <v>227</v>
      </c>
      <c r="AR134" s="63">
        <f t="shared" si="4"/>
        <v>227</v>
      </c>
      <c r="AS134" s="63">
        <f t="shared" si="5"/>
        <v>0</v>
      </c>
    </row>
    <row r="135" ht="15.75" customHeight="1">
      <c r="A135" s="63" t="s">
        <v>941</v>
      </c>
      <c r="B135" s="63">
        <v>36.0</v>
      </c>
      <c r="D135" s="63">
        <v>93.0</v>
      </c>
      <c r="E135" s="63">
        <v>70.0</v>
      </c>
      <c r="G135" s="63">
        <v>13.0</v>
      </c>
      <c r="H135" s="63">
        <v>3.0</v>
      </c>
      <c r="J135" s="63">
        <v>172.0</v>
      </c>
      <c r="O135" s="63">
        <v>12.0</v>
      </c>
      <c r="S135" s="63">
        <v>31.0</v>
      </c>
      <c r="U135" s="63">
        <v>16.0</v>
      </c>
      <c r="V135" s="63">
        <v>25.0</v>
      </c>
      <c r="W135" s="64"/>
      <c r="X135" s="63">
        <v>168.0</v>
      </c>
      <c r="Y135" s="63">
        <v>46.0</v>
      </c>
      <c r="AA135" s="63">
        <v>25.0</v>
      </c>
      <c r="AD135" s="63">
        <v>214.0</v>
      </c>
      <c r="AI135" s="63">
        <v>26.0</v>
      </c>
      <c r="AM135" s="63">
        <v>24.0</v>
      </c>
      <c r="AO135" s="63">
        <f t="shared" si="1"/>
        <v>479</v>
      </c>
      <c r="AP135" s="63">
        <f t="shared" si="2"/>
        <v>424</v>
      </c>
      <c r="AQ135" s="63">
        <f t="shared" si="3"/>
        <v>55</v>
      </c>
      <c r="AR135" s="63">
        <f t="shared" si="4"/>
        <v>55</v>
      </c>
      <c r="AS135" s="63">
        <f t="shared" si="5"/>
        <v>0</v>
      </c>
    </row>
    <row r="136" ht="15.75" customHeight="1">
      <c r="A136" s="63" t="s">
        <v>881</v>
      </c>
      <c r="W136" s="64"/>
      <c r="AO136" s="63">
        <f t="shared" si="1"/>
        <v>0</v>
      </c>
      <c r="AP136" s="63">
        <f t="shared" si="2"/>
        <v>0</v>
      </c>
      <c r="AQ136" s="63">
        <f t="shared" si="3"/>
        <v>0</v>
      </c>
      <c r="AR136" s="63">
        <f t="shared" si="4"/>
        <v>0</v>
      </c>
      <c r="AS136" s="63">
        <f t="shared" si="5"/>
        <v>0</v>
      </c>
    </row>
    <row r="137" ht="15.75" customHeight="1">
      <c r="A137" s="63" t="s">
        <v>277</v>
      </c>
      <c r="B137" s="63">
        <v>6.0</v>
      </c>
      <c r="C137" s="63">
        <v>6.0</v>
      </c>
      <c r="E137" s="63">
        <v>29.0</v>
      </c>
      <c r="G137" s="63">
        <v>34.0</v>
      </c>
      <c r="J137" s="63">
        <v>61.0</v>
      </c>
      <c r="Q137" s="63">
        <v>1.0</v>
      </c>
      <c r="S137" s="63">
        <v>7.0</v>
      </c>
      <c r="T137" s="63">
        <v>7.0</v>
      </c>
      <c r="U137" s="63">
        <v>45.0</v>
      </c>
      <c r="V137" s="63">
        <v>3.0</v>
      </c>
      <c r="W137" s="64">
        <v>3.0</v>
      </c>
      <c r="Y137" s="63">
        <v>62.0</v>
      </c>
      <c r="AA137" s="63">
        <v>19.0</v>
      </c>
      <c r="AB137" s="63">
        <v>4.0</v>
      </c>
      <c r="AD137" s="63">
        <v>83.0</v>
      </c>
      <c r="AK137" s="63">
        <v>3.0</v>
      </c>
      <c r="AM137" s="63">
        <v>2.0</v>
      </c>
      <c r="AN137" s="63">
        <v>2.0</v>
      </c>
      <c r="AO137" s="63">
        <f t="shared" si="1"/>
        <v>166</v>
      </c>
      <c r="AP137" s="63">
        <f t="shared" si="2"/>
        <v>148</v>
      </c>
      <c r="AQ137" s="63">
        <f t="shared" si="3"/>
        <v>18</v>
      </c>
      <c r="AR137" s="63">
        <f t="shared" si="4"/>
        <v>18</v>
      </c>
      <c r="AS137" s="63">
        <f t="shared" si="5"/>
        <v>0</v>
      </c>
    </row>
    <row r="138" ht="15.75" customHeight="1">
      <c r="A138" s="63" t="s">
        <v>598</v>
      </c>
      <c r="W138" s="64"/>
      <c r="AO138" s="63">
        <f t="shared" si="1"/>
        <v>0</v>
      </c>
      <c r="AP138" s="63">
        <f t="shared" si="2"/>
        <v>0</v>
      </c>
      <c r="AQ138" s="63">
        <f t="shared" si="3"/>
        <v>0</v>
      </c>
      <c r="AR138" s="63">
        <f t="shared" si="4"/>
        <v>0</v>
      </c>
      <c r="AS138" s="63">
        <f t="shared" si="5"/>
        <v>0</v>
      </c>
    </row>
    <row r="139" ht="15.75" customHeight="1">
      <c r="A139" s="63" t="s">
        <v>541</v>
      </c>
      <c r="B139" s="63">
        <v>12.0</v>
      </c>
      <c r="C139" s="63">
        <v>3.0</v>
      </c>
      <c r="D139" s="63">
        <v>2.0</v>
      </c>
      <c r="E139" s="63">
        <v>48.0</v>
      </c>
      <c r="J139" s="63">
        <v>55.0</v>
      </c>
      <c r="S139" s="63">
        <v>8.0</v>
      </c>
      <c r="T139" s="63">
        <v>2.0</v>
      </c>
      <c r="W139" s="64"/>
      <c r="X139" s="63">
        <v>86.0</v>
      </c>
      <c r="AA139" s="63">
        <v>3.0</v>
      </c>
      <c r="AD139" s="63">
        <v>88.0</v>
      </c>
      <c r="AK139" s="63">
        <v>1.0</v>
      </c>
      <c r="AO139" s="63">
        <f t="shared" si="1"/>
        <v>154</v>
      </c>
      <c r="AP139" s="63">
        <f t="shared" si="2"/>
        <v>144</v>
      </c>
      <c r="AQ139" s="63">
        <f t="shared" si="3"/>
        <v>10</v>
      </c>
      <c r="AR139" s="63">
        <f t="shared" si="4"/>
        <v>10</v>
      </c>
      <c r="AS139" s="63">
        <f t="shared" si="5"/>
        <v>0</v>
      </c>
    </row>
    <row r="140" ht="15.75" customHeight="1">
      <c r="A140" s="63" t="s">
        <v>318</v>
      </c>
      <c r="W140" s="64"/>
      <c r="AO140" s="63">
        <f t="shared" si="1"/>
        <v>0</v>
      </c>
      <c r="AP140" s="63">
        <f t="shared" si="2"/>
        <v>0</v>
      </c>
      <c r="AQ140" s="63">
        <f t="shared" si="3"/>
        <v>0</v>
      </c>
      <c r="AR140" s="63">
        <f t="shared" si="4"/>
        <v>0</v>
      </c>
      <c r="AS140" s="63">
        <f t="shared" si="5"/>
        <v>0</v>
      </c>
    </row>
    <row r="141" ht="15.75" customHeight="1">
      <c r="A141" s="63" t="s">
        <v>430</v>
      </c>
      <c r="W141" s="64"/>
      <c r="AO141" s="63">
        <f t="shared" si="1"/>
        <v>0</v>
      </c>
      <c r="AP141" s="63">
        <f t="shared" si="2"/>
        <v>0</v>
      </c>
      <c r="AQ141" s="63">
        <f t="shared" si="3"/>
        <v>0</v>
      </c>
      <c r="AR141" s="63">
        <f t="shared" si="4"/>
        <v>0</v>
      </c>
      <c r="AS141" s="63">
        <f t="shared" si="5"/>
        <v>0</v>
      </c>
    </row>
    <row r="142" ht="15.75" customHeight="1">
      <c r="A142" s="63" t="s">
        <v>592</v>
      </c>
      <c r="W142" s="64"/>
      <c r="AO142" s="63">
        <f t="shared" si="1"/>
        <v>0</v>
      </c>
      <c r="AP142" s="63">
        <f t="shared" si="2"/>
        <v>0</v>
      </c>
      <c r="AQ142" s="63">
        <f t="shared" si="3"/>
        <v>0</v>
      </c>
      <c r="AR142" s="63">
        <f t="shared" si="4"/>
        <v>0</v>
      </c>
      <c r="AS142" s="63">
        <f t="shared" si="5"/>
        <v>0</v>
      </c>
    </row>
    <row r="143" ht="15.75" customHeight="1">
      <c r="A143" s="63" t="s">
        <v>932</v>
      </c>
      <c r="W143" s="64"/>
      <c r="AO143" s="63">
        <f t="shared" si="1"/>
        <v>0</v>
      </c>
      <c r="AP143" s="63">
        <f t="shared" si="2"/>
        <v>0</v>
      </c>
      <c r="AQ143" s="63">
        <f t="shared" si="3"/>
        <v>0</v>
      </c>
      <c r="AR143" s="63">
        <f t="shared" si="4"/>
        <v>0</v>
      </c>
      <c r="AS143" s="63">
        <f t="shared" si="5"/>
        <v>0</v>
      </c>
    </row>
    <row r="144" ht="15.75" customHeight="1">
      <c r="A144" s="63" t="s">
        <v>515</v>
      </c>
      <c r="D144" s="63">
        <v>83.0</v>
      </c>
      <c r="L144" s="63">
        <v>83.0</v>
      </c>
      <c r="U144" s="63">
        <v>5.0</v>
      </c>
      <c r="W144" s="64"/>
      <c r="AO144" s="63">
        <f t="shared" si="1"/>
        <v>83</v>
      </c>
      <c r="AP144" s="63">
        <f t="shared" si="2"/>
        <v>83</v>
      </c>
      <c r="AQ144" s="63">
        <f t="shared" si="3"/>
        <v>0</v>
      </c>
      <c r="AR144" s="63">
        <f t="shared" si="4"/>
        <v>0</v>
      </c>
      <c r="AS144" s="63">
        <f t="shared" si="5"/>
        <v>0</v>
      </c>
    </row>
    <row r="145" ht="15.75" customHeight="1">
      <c r="A145" s="63" t="s">
        <v>790</v>
      </c>
      <c r="W145" s="64"/>
      <c r="AO145" s="63">
        <f t="shared" si="1"/>
        <v>0</v>
      </c>
      <c r="AP145" s="63">
        <f t="shared" si="2"/>
        <v>0</v>
      </c>
      <c r="AQ145" s="63">
        <f t="shared" si="3"/>
        <v>0</v>
      </c>
      <c r="AR145" s="63">
        <f t="shared" si="4"/>
        <v>0</v>
      </c>
      <c r="AS145" s="63">
        <f t="shared" si="5"/>
        <v>0</v>
      </c>
    </row>
    <row r="146" ht="15.75" customHeight="1">
      <c r="A146" s="63" t="s">
        <v>308</v>
      </c>
      <c r="W146" s="64"/>
      <c r="AO146" s="63">
        <f t="shared" si="1"/>
        <v>0</v>
      </c>
      <c r="AP146" s="63">
        <f t="shared" si="2"/>
        <v>0</v>
      </c>
      <c r="AQ146" s="63">
        <f t="shared" si="3"/>
        <v>0</v>
      </c>
      <c r="AR146" s="63">
        <f t="shared" si="4"/>
        <v>0</v>
      </c>
      <c r="AS146" s="63">
        <f t="shared" si="5"/>
        <v>0</v>
      </c>
    </row>
    <row r="147" ht="15.75" customHeight="1">
      <c r="A147" s="63" t="s">
        <v>577</v>
      </c>
      <c r="B147" s="63">
        <v>25.0</v>
      </c>
      <c r="D147" s="63">
        <v>172.0</v>
      </c>
      <c r="E147" s="63">
        <v>5.0</v>
      </c>
      <c r="G147" s="63">
        <v>1.0</v>
      </c>
      <c r="I147" s="63">
        <v>2.0</v>
      </c>
      <c r="J147" s="63">
        <v>136.0</v>
      </c>
      <c r="K147" s="63">
        <v>18.0</v>
      </c>
      <c r="L147" s="63">
        <v>49.0</v>
      </c>
      <c r="Q147" s="63">
        <v>1.0</v>
      </c>
      <c r="S147" s="63">
        <v>17.0</v>
      </c>
      <c r="U147" s="63">
        <v>32.5</v>
      </c>
      <c r="W147" s="64"/>
      <c r="X147" s="63">
        <v>73.0</v>
      </c>
      <c r="AD147" s="63">
        <v>26.0</v>
      </c>
      <c r="AE147" s="63">
        <v>1.0</v>
      </c>
      <c r="AF147" s="63">
        <v>24.0</v>
      </c>
      <c r="AI147" s="63">
        <v>6.0</v>
      </c>
      <c r="AO147" s="63">
        <f t="shared" si="1"/>
        <v>278</v>
      </c>
      <c r="AP147" s="63">
        <f t="shared" si="2"/>
        <v>261</v>
      </c>
      <c r="AQ147" s="63">
        <f t="shared" si="3"/>
        <v>17</v>
      </c>
      <c r="AR147" s="63">
        <f t="shared" si="4"/>
        <v>17</v>
      </c>
      <c r="AS147" s="63">
        <f t="shared" si="5"/>
        <v>0</v>
      </c>
    </row>
    <row r="148" ht="15.75" customHeight="1">
      <c r="A148" s="63" t="s">
        <v>745</v>
      </c>
      <c r="B148" s="63">
        <v>3.0</v>
      </c>
      <c r="C148" s="63">
        <v>1.0</v>
      </c>
      <c r="D148" s="63">
        <v>3.0</v>
      </c>
      <c r="G148" s="63">
        <v>3.0</v>
      </c>
      <c r="J148" s="63">
        <v>2.0</v>
      </c>
      <c r="L148" s="63">
        <v>3.0</v>
      </c>
      <c r="S148" s="63">
        <v>3.0</v>
      </c>
      <c r="T148" s="63">
        <v>3.0</v>
      </c>
      <c r="U148" s="63">
        <v>30.0</v>
      </c>
      <c r="V148" s="63">
        <v>2.0</v>
      </c>
      <c r="W148" s="64">
        <v>2.0</v>
      </c>
      <c r="X148" s="63">
        <v>2.0</v>
      </c>
      <c r="AA148" s="63">
        <v>27.0</v>
      </c>
      <c r="AD148" s="63">
        <v>8.0</v>
      </c>
      <c r="AF148" s="63">
        <v>21.0</v>
      </c>
      <c r="AI148" s="63">
        <v>1.0</v>
      </c>
      <c r="AM148" s="63">
        <v>1.0</v>
      </c>
      <c r="AN148" s="63">
        <v>1.0</v>
      </c>
      <c r="AO148" s="63">
        <f t="shared" si="1"/>
        <v>43</v>
      </c>
      <c r="AP148" s="63">
        <f t="shared" si="2"/>
        <v>35</v>
      </c>
      <c r="AQ148" s="63">
        <f t="shared" si="3"/>
        <v>8</v>
      </c>
      <c r="AR148" s="63">
        <f t="shared" si="4"/>
        <v>8</v>
      </c>
      <c r="AS148" s="63">
        <f t="shared" si="5"/>
        <v>0</v>
      </c>
    </row>
    <row r="149" ht="15.75" customHeight="1">
      <c r="A149" s="63" t="s">
        <v>869</v>
      </c>
      <c r="W149" s="64"/>
      <c r="AO149" s="63">
        <f t="shared" si="1"/>
        <v>0</v>
      </c>
      <c r="AP149" s="63">
        <f t="shared" si="2"/>
        <v>0</v>
      </c>
      <c r="AQ149" s="63">
        <f t="shared" si="3"/>
        <v>0</v>
      </c>
      <c r="AR149" s="63">
        <f t="shared" si="4"/>
        <v>0</v>
      </c>
      <c r="AS149" s="63">
        <f t="shared" si="5"/>
        <v>0</v>
      </c>
    </row>
    <row r="150" ht="15.75" customHeight="1">
      <c r="A150" s="63" t="s">
        <v>470</v>
      </c>
      <c r="W150" s="64"/>
      <c r="AO150" s="63">
        <f t="shared" si="1"/>
        <v>0</v>
      </c>
      <c r="AP150" s="63">
        <f t="shared" si="2"/>
        <v>0</v>
      </c>
      <c r="AQ150" s="63">
        <f t="shared" si="3"/>
        <v>0</v>
      </c>
      <c r="AR150" s="63">
        <f t="shared" si="4"/>
        <v>0</v>
      </c>
      <c r="AS150" s="63">
        <f t="shared" si="5"/>
        <v>0</v>
      </c>
    </row>
    <row r="151" ht="15.75" customHeight="1">
      <c r="A151" s="63" t="s">
        <v>436</v>
      </c>
      <c r="W151" s="64"/>
      <c r="AO151" s="63">
        <f t="shared" si="1"/>
        <v>0</v>
      </c>
      <c r="AP151" s="63">
        <f t="shared" si="2"/>
        <v>0</v>
      </c>
      <c r="AQ151" s="63">
        <f t="shared" si="3"/>
        <v>0</v>
      </c>
      <c r="AR151" s="63">
        <f t="shared" si="4"/>
        <v>0</v>
      </c>
      <c r="AS151" s="63">
        <f t="shared" si="5"/>
        <v>0</v>
      </c>
    </row>
    <row r="152" ht="15.75" customHeight="1">
      <c r="A152" s="63" t="s">
        <v>672</v>
      </c>
      <c r="B152" s="63">
        <v>18.0</v>
      </c>
      <c r="C152" s="63">
        <v>8.0</v>
      </c>
      <c r="D152" s="63">
        <v>142.0</v>
      </c>
      <c r="E152" s="63">
        <v>77.0</v>
      </c>
      <c r="F152" s="63">
        <v>10.0</v>
      </c>
      <c r="G152" s="63">
        <v>87.0</v>
      </c>
      <c r="I152" s="63">
        <v>33.0</v>
      </c>
      <c r="J152" s="63">
        <v>286.0</v>
      </c>
      <c r="K152" s="63">
        <v>32.0</v>
      </c>
      <c r="L152" s="63">
        <v>6.0</v>
      </c>
      <c r="N152" s="63">
        <v>2.0</v>
      </c>
      <c r="P152" s="63">
        <v>1.0</v>
      </c>
      <c r="Q152" s="63">
        <v>23.0</v>
      </c>
      <c r="R152" s="63">
        <v>10.0</v>
      </c>
      <c r="S152" s="63">
        <v>15.0</v>
      </c>
      <c r="U152" s="63">
        <v>59.0</v>
      </c>
      <c r="V152" s="63">
        <v>9.0</v>
      </c>
      <c r="W152" s="64">
        <v>12.0</v>
      </c>
      <c r="X152" s="63">
        <v>43.0</v>
      </c>
      <c r="Y152" s="63">
        <v>14.0</v>
      </c>
      <c r="AA152" s="63">
        <v>99.0</v>
      </c>
      <c r="AC152" s="63">
        <v>25.0</v>
      </c>
      <c r="AD152" s="63">
        <v>169.0</v>
      </c>
      <c r="AE152" s="63">
        <v>2.0</v>
      </c>
      <c r="AI152" s="63">
        <v>9.0</v>
      </c>
      <c r="AK152" s="63">
        <v>1.0</v>
      </c>
      <c r="AM152" s="63">
        <v>19.0</v>
      </c>
      <c r="AN152" s="63">
        <v>2.0</v>
      </c>
      <c r="AO152" s="63">
        <f t="shared" si="1"/>
        <v>577</v>
      </c>
      <c r="AP152" s="63">
        <f t="shared" si="2"/>
        <v>541</v>
      </c>
      <c r="AQ152" s="63">
        <f t="shared" si="3"/>
        <v>36</v>
      </c>
      <c r="AR152" s="63">
        <f t="shared" si="4"/>
        <v>36</v>
      </c>
      <c r="AS152" s="63">
        <f t="shared" si="5"/>
        <v>0</v>
      </c>
    </row>
    <row r="153" ht="15.75" customHeight="1">
      <c r="A153" s="63" t="s">
        <v>811</v>
      </c>
      <c r="W153" s="64"/>
      <c r="AO153" s="63">
        <f t="shared" si="1"/>
        <v>0</v>
      </c>
      <c r="AP153" s="63">
        <f t="shared" si="2"/>
        <v>0</v>
      </c>
      <c r="AQ153" s="63">
        <f t="shared" si="3"/>
        <v>0</v>
      </c>
      <c r="AR153" s="63">
        <f t="shared" si="4"/>
        <v>0</v>
      </c>
      <c r="AS153" s="63">
        <f t="shared" si="5"/>
        <v>0</v>
      </c>
    </row>
    <row r="154" ht="15.75" customHeight="1">
      <c r="A154" s="63" t="s">
        <v>331</v>
      </c>
      <c r="W154" s="64"/>
      <c r="AO154" s="63">
        <f t="shared" si="1"/>
        <v>0</v>
      </c>
      <c r="AP154" s="63">
        <f t="shared" si="2"/>
        <v>0</v>
      </c>
      <c r="AQ154" s="63">
        <f t="shared" si="3"/>
        <v>0</v>
      </c>
      <c r="AR154" s="63">
        <f t="shared" si="4"/>
        <v>0</v>
      </c>
      <c r="AS154" s="63">
        <f t="shared" si="5"/>
        <v>0</v>
      </c>
    </row>
    <row r="155" ht="15.75" customHeight="1">
      <c r="A155" s="63" t="s">
        <v>321</v>
      </c>
      <c r="W155" s="64"/>
      <c r="AO155" s="63">
        <f t="shared" si="1"/>
        <v>0</v>
      </c>
      <c r="AP155" s="63">
        <f t="shared" si="2"/>
        <v>0</v>
      </c>
      <c r="AQ155" s="63">
        <f t="shared" si="3"/>
        <v>0</v>
      </c>
      <c r="AR155" s="63">
        <f t="shared" si="4"/>
        <v>0</v>
      </c>
      <c r="AS155" s="63">
        <f t="shared" si="5"/>
        <v>0</v>
      </c>
    </row>
    <row r="156" ht="15.75" customHeight="1">
      <c r="A156" s="63" t="s">
        <v>1024</v>
      </c>
      <c r="W156" s="64"/>
      <c r="AO156" s="63">
        <f t="shared" si="1"/>
        <v>0</v>
      </c>
      <c r="AP156" s="63">
        <f t="shared" si="2"/>
        <v>0</v>
      </c>
      <c r="AQ156" s="63">
        <f t="shared" si="3"/>
        <v>0</v>
      </c>
      <c r="AR156" s="63">
        <f t="shared" si="4"/>
        <v>0</v>
      </c>
      <c r="AS156" s="63">
        <f t="shared" si="5"/>
        <v>0</v>
      </c>
    </row>
    <row r="157" ht="15.75" customHeight="1">
      <c r="A157" s="63" t="s">
        <v>906</v>
      </c>
      <c r="W157" s="64"/>
      <c r="AO157" s="63">
        <f t="shared" si="1"/>
        <v>0</v>
      </c>
      <c r="AP157" s="63">
        <f t="shared" si="2"/>
        <v>0</v>
      </c>
      <c r="AQ157" s="63">
        <f t="shared" si="3"/>
        <v>0</v>
      </c>
      <c r="AR157" s="63">
        <f t="shared" si="4"/>
        <v>0</v>
      </c>
      <c r="AS157" s="63">
        <f t="shared" si="5"/>
        <v>0</v>
      </c>
    </row>
    <row r="158" ht="15.75" customHeight="1">
      <c r="A158" s="63" t="s">
        <v>890</v>
      </c>
      <c r="W158" s="64"/>
      <c r="AO158" s="63">
        <f t="shared" si="1"/>
        <v>0</v>
      </c>
      <c r="AP158" s="63">
        <f t="shared" si="2"/>
        <v>0</v>
      </c>
      <c r="AQ158" s="63">
        <f t="shared" si="3"/>
        <v>0</v>
      </c>
      <c r="AR158" s="63">
        <f t="shared" si="4"/>
        <v>0</v>
      </c>
      <c r="AS158" s="63">
        <f t="shared" si="5"/>
        <v>0</v>
      </c>
    </row>
    <row r="159" ht="15.75" customHeight="1">
      <c r="A159" s="63" t="s">
        <v>884</v>
      </c>
      <c r="W159" s="64"/>
      <c r="AO159" s="63">
        <f t="shared" si="1"/>
        <v>0</v>
      </c>
      <c r="AP159" s="63">
        <f t="shared" si="2"/>
        <v>0</v>
      </c>
      <c r="AQ159" s="63">
        <f t="shared" si="3"/>
        <v>0</v>
      </c>
      <c r="AR159" s="63">
        <f t="shared" si="4"/>
        <v>0</v>
      </c>
      <c r="AS159" s="63">
        <f t="shared" si="5"/>
        <v>0</v>
      </c>
    </row>
    <row r="160" ht="15.75" customHeight="1">
      <c r="A160" s="63" t="s">
        <v>769</v>
      </c>
      <c r="W160" s="64"/>
      <c r="AO160" s="63">
        <f t="shared" si="1"/>
        <v>0</v>
      </c>
      <c r="AP160" s="63">
        <f t="shared" si="2"/>
        <v>0</v>
      </c>
      <c r="AQ160" s="63">
        <f t="shared" si="3"/>
        <v>0</v>
      </c>
      <c r="AR160" s="63">
        <f t="shared" si="4"/>
        <v>0</v>
      </c>
      <c r="AS160" s="63">
        <f t="shared" si="5"/>
        <v>0</v>
      </c>
    </row>
    <row r="161" ht="15.75" customHeight="1">
      <c r="A161" s="63" t="s">
        <v>742</v>
      </c>
      <c r="W161" s="64"/>
      <c r="AO161" s="63">
        <f t="shared" si="1"/>
        <v>0</v>
      </c>
      <c r="AP161" s="63">
        <f t="shared" si="2"/>
        <v>0</v>
      </c>
      <c r="AQ161" s="63">
        <f t="shared" si="3"/>
        <v>0</v>
      </c>
      <c r="AR161" s="63">
        <f t="shared" si="4"/>
        <v>0</v>
      </c>
      <c r="AS161" s="63">
        <f t="shared" si="5"/>
        <v>0</v>
      </c>
    </row>
    <row r="162" ht="15.75" customHeight="1">
      <c r="A162" s="63" t="s">
        <v>836</v>
      </c>
      <c r="W162" s="64"/>
      <c r="AO162" s="63">
        <f t="shared" si="1"/>
        <v>0</v>
      </c>
      <c r="AP162" s="63">
        <f t="shared" si="2"/>
        <v>0</v>
      </c>
      <c r="AQ162" s="63">
        <f t="shared" si="3"/>
        <v>0</v>
      </c>
      <c r="AR162" s="63">
        <f t="shared" si="4"/>
        <v>0</v>
      </c>
      <c r="AS162" s="63">
        <f t="shared" si="5"/>
        <v>0</v>
      </c>
    </row>
    <row r="163" ht="15.75" customHeight="1">
      <c r="A163" s="63" t="s">
        <v>748</v>
      </c>
      <c r="W163" s="64"/>
      <c r="AO163" s="63">
        <f t="shared" si="1"/>
        <v>0</v>
      </c>
      <c r="AP163" s="63">
        <f t="shared" si="2"/>
        <v>0</v>
      </c>
      <c r="AQ163" s="63">
        <f t="shared" si="3"/>
        <v>0</v>
      </c>
      <c r="AR163" s="63">
        <f t="shared" si="4"/>
        <v>0</v>
      </c>
      <c r="AS163" s="63">
        <f t="shared" si="5"/>
        <v>0</v>
      </c>
    </row>
    <row r="164" ht="15.75" customHeight="1">
      <c r="A164" s="63" t="s">
        <v>953</v>
      </c>
      <c r="B164" s="63">
        <v>20.0</v>
      </c>
      <c r="D164" s="63">
        <v>10.0</v>
      </c>
      <c r="E164" s="63">
        <v>35.0</v>
      </c>
      <c r="J164" s="63">
        <v>43.0</v>
      </c>
      <c r="K164" s="63">
        <v>6.0</v>
      </c>
      <c r="O164" s="63">
        <v>6.0</v>
      </c>
      <c r="S164" s="63">
        <v>10.0</v>
      </c>
      <c r="U164" s="63">
        <v>52.2</v>
      </c>
      <c r="V164" s="63">
        <v>8.0</v>
      </c>
      <c r="W164" s="64"/>
      <c r="X164" s="63">
        <v>84.0</v>
      </c>
      <c r="Y164" s="63">
        <v>10.0</v>
      </c>
      <c r="AA164" s="63">
        <v>4.0</v>
      </c>
      <c r="AD164" s="63">
        <v>80.0</v>
      </c>
      <c r="AI164" s="63">
        <v>7.0</v>
      </c>
      <c r="AM164" s="63">
        <v>19.0</v>
      </c>
      <c r="AO164" s="63">
        <f t="shared" si="1"/>
        <v>171</v>
      </c>
      <c r="AP164" s="63">
        <f t="shared" si="2"/>
        <v>142</v>
      </c>
      <c r="AQ164" s="63">
        <f t="shared" si="3"/>
        <v>29</v>
      </c>
      <c r="AR164" s="63">
        <f t="shared" si="4"/>
        <v>29</v>
      </c>
      <c r="AS164" s="63">
        <f t="shared" si="5"/>
        <v>0</v>
      </c>
    </row>
    <row r="165" ht="15.75" customHeight="1">
      <c r="A165" s="63" t="s">
        <v>595</v>
      </c>
      <c r="W165" s="64"/>
      <c r="AO165" s="63">
        <f t="shared" si="1"/>
        <v>0</v>
      </c>
      <c r="AP165" s="63">
        <f t="shared" si="2"/>
        <v>0</v>
      </c>
      <c r="AQ165" s="63">
        <f t="shared" si="3"/>
        <v>0</v>
      </c>
      <c r="AR165" s="63">
        <f t="shared" si="4"/>
        <v>0</v>
      </c>
      <c r="AS165" s="63">
        <f t="shared" si="5"/>
        <v>0</v>
      </c>
    </row>
    <row r="166" ht="15.75" customHeight="1">
      <c r="A166" s="63" t="s">
        <v>335</v>
      </c>
      <c r="W166" s="64"/>
      <c r="AO166" s="63">
        <f t="shared" si="1"/>
        <v>0</v>
      </c>
      <c r="AP166" s="63">
        <f t="shared" si="2"/>
        <v>0</v>
      </c>
      <c r="AQ166" s="63">
        <f t="shared" si="3"/>
        <v>0</v>
      </c>
      <c r="AR166" s="63">
        <f t="shared" si="4"/>
        <v>0</v>
      </c>
      <c r="AS166" s="63">
        <f t="shared" si="5"/>
        <v>0</v>
      </c>
    </row>
    <row r="167" ht="15.75" customHeight="1">
      <c r="A167" s="63" t="s">
        <v>446</v>
      </c>
      <c r="W167" s="64"/>
      <c r="AO167" s="63">
        <f t="shared" si="1"/>
        <v>0</v>
      </c>
      <c r="AP167" s="63">
        <f t="shared" si="2"/>
        <v>0</v>
      </c>
      <c r="AQ167" s="63">
        <f t="shared" si="3"/>
        <v>0</v>
      </c>
      <c r="AR167" s="63">
        <f t="shared" si="4"/>
        <v>0</v>
      </c>
      <c r="AS167" s="63">
        <f t="shared" si="5"/>
        <v>0</v>
      </c>
    </row>
    <row r="168" ht="15.75" customHeight="1">
      <c r="A168" s="63" t="s">
        <v>263</v>
      </c>
      <c r="B168" s="63">
        <v>109.0</v>
      </c>
      <c r="C168" s="63">
        <v>1.0</v>
      </c>
      <c r="D168" s="63">
        <v>169.0</v>
      </c>
      <c r="E168" s="63">
        <v>41.0</v>
      </c>
      <c r="I168" s="63">
        <v>31.0</v>
      </c>
      <c r="J168" s="63">
        <v>218.0</v>
      </c>
      <c r="K168" s="63">
        <v>6.0</v>
      </c>
      <c r="N168" s="63">
        <v>31.0</v>
      </c>
      <c r="Q168" s="63">
        <v>11.0</v>
      </c>
      <c r="S168" s="63">
        <v>85.0</v>
      </c>
      <c r="U168" s="63">
        <v>60.0</v>
      </c>
      <c r="W168" s="64">
        <v>4.0</v>
      </c>
      <c r="X168" s="63">
        <v>359.0</v>
      </c>
      <c r="Y168" s="63">
        <v>29.0</v>
      </c>
      <c r="AD168" s="63">
        <v>384.0</v>
      </c>
      <c r="AM168" s="63">
        <v>8.0</v>
      </c>
      <c r="AO168" s="63">
        <f t="shared" si="1"/>
        <v>743</v>
      </c>
      <c r="AP168" s="63">
        <f t="shared" si="2"/>
        <v>650</v>
      </c>
      <c r="AQ168" s="63">
        <f t="shared" si="3"/>
        <v>93</v>
      </c>
      <c r="AR168" s="63">
        <f t="shared" si="4"/>
        <v>93</v>
      </c>
      <c r="AS168" s="63">
        <f t="shared" si="5"/>
        <v>0</v>
      </c>
    </row>
    <row r="169" ht="15.75" customHeight="1">
      <c r="A169" s="63" t="s">
        <v>461</v>
      </c>
      <c r="W169" s="64"/>
      <c r="AO169" s="63">
        <f t="shared" si="1"/>
        <v>0</v>
      </c>
      <c r="AP169" s="63">
        <f t="shared" si="2"/>
        <v>0</v>
      </c>
      <c r="AQ169" s="63">
        <f t="shared" si="3"/>
        <v>0</v>
      </c>
      <c r="AR169" s="63">
        <f t="shared" si="4"/>
        <v>0</v>
      </c>
      <c r="AS169" s="63">
        <f t="shared" si="5"/>
        <v>0</v>
      </c>
    </row>
    <row r="170" ht="15.75" customHeight="1">
      <c r="A170" s="63" t="s">
        <v>799</v>
      </c>
      <c r="W170" s="64"/>
      <c r="AO170" s="63">
        <f t="shared" si="1"/>
        <v>0</v>
      </c>
      <c r="AP170" s="63">
        <f t="shared" si="2"/>
        <v>0</v>
      </c>
      <c r="AQ170" s="63">
        <f t="shared" si="3"/>
        <v>0</v>
      </c>
      <c r="AR170" s="63">
        <f t="shared" si="4"/>
        <v>0</v>
      </c>
      <c r="AS170" s="63">
        <f t="shared" si="5"/>
        <v>0</v>
      </c>
    </row>
    <row r="171" ht="15.75" customHeight="1">
      <c r="A171" s="63" t="s">
        <v>739</v>
      </c>
      <c r="D171" s="63">
        <v>1.0</v>
      </c>
      <c r="J171" s="63">
        <v>1.0</v>
      </c>
      <c r="U171" s="63">
        <v>5.0</v>
      </c>
      <c r="W171" s="64"/>
      <c r="AO171" s="63">
        <f t="shared" si="1"/>
        <v>1</v>
      </c>
      <c r="AP171" s="63">
        <f t="shared" si="2"/>
        <v>1</v>
      </c>
      <c r="AQ171" s="63">
        <f t="shared" si="3"/>
        <v>0</v>
      </c>
      <c r="AR171" s="63">
        <f t="shared" si="4"/>
        <v>0</v>
      </c>
      <c r="AS171" s="63">
        <f t="shared" si="5"/>
        <v>0</v>
      </c>
    </row>
    <row r="172" ht="15.75" customHeight="1">
      <c r="A172" s="63" t="s">
        <v>260</v>
      </c>
      <c r="W172" s="64"/>
      <c r="AO172" s="63">
        <f t="shared" si="1"/>
        <v>0</v>
      </c>
      <c r="AP172" s="63">
        <f t="shared" si="2"/>
        <v>0</v>
      </c>
      <c r="AQ172" s="63">
        <f t="shared" si="3"/>
        <v>0</v>
      </c>
      <c r="AR172" s="63">
        <f t="shared" si="4"/>
        <v>0</v>
      </c>
      <c r="AS172" s="63">
        <f t="shared" si="5"/>
        <v>0</v>
      </c>
    </row>
    <row r="173" ht="15.75" customHeight="1">
      <c r="A173" s="63" t="s">
        <v>928</v>
      </c>
      <c r="B173" s="63">
        <v>28.0</v>
      </c>
      <c r="D173" s="63">
        <v>51.0</v>
      </c>
      <c r="E173" s="63">
        <v>26.0</v>
      </c>
      <c r="G173" s="63">
        <v>3.0</v>
      </c>
      <c r="J173" s="63">
        <v>57.0</v>
      </c>
      <c r="K173" s="63">
        <v>5.0</v>
      </c>
      <c r="O173" s="63">
        <v>3.0</v>
      </c>
      <c r="S173" s="63">
        <v>43.0</v>
      </c>
      <c r="U173" s="63">
        <v>70.0</v>
      </c>
      <c r="V173" s="63">
        <v>5.0</v>
      </c>
      <c r="W173" s="64"/>
      <c r="X173" s="63">
        <v>53.0</v>
      </c>
      <c r="Y173" s="63">
        <v>8.0</v>
      </c>
      <c r="AA173" s="63">
        <v>12.0</v>
      </c>
      <c r="AD173" s="63">
        <v>67.0</v>
      </c>
      <c r="AI173" s="63">
        <v>7.0</v>
      </c>
      <c r="AK173" s="63">
        <v>1.0</v>
      </c>
      <c r="AM173" s="63">
        <v>3.0</v>
      </c>
      <c r="AO173" s="63">
        <f t="shared" si="1"/>
        <v>186</v>
      </c>
      <c r="AP173" s="63">
        <f t="shared" si="2"/>
        <v>140</v>
      </c>
      <c r="AQ173" s="63">
        <f t="shared" si="3"/>
        <v>46</v>
      </c>
      <c r="AR173" s="63">
        <f t="shared" si="4"/>
        <v>46</v>
      </c>
      <c r="AS173" s="63">
        <f t="shared" si="5"/>
        <v>0</v>
      </c>
    </row>
    <row r="174" ht="15.75" customHeight="1">
      <c r="A174" s="63" t="s">
        <v>361</v>
      </c>
      <c r="D174" s="63">
        <v>1.0</v>
      </c>
      <c r="E174" s="63">
        <v>3.0</v>
      </c>
      <c r="J174" s="63">
        <v>4.0</v>
      </c>
      <c r="U174" s="63">
        <v>42.0</v>
      </c>
      <c r="W174" s="64"/>
      <c r="AO174" s="63">
        <f t="shared" si="1"/>
        <v>4</v>
      </c>
      <c r="AP174" s="63">
        <f t="shared" si="2"/>
        <v>4</v>
      </c>
      <c r="AQ174" s="63">
        <f t="shared" si="3"/>
        <v>0</v>
      </c>
      <c r="AR174" s="63">
        <f t="shared" si="4"/>
        <v>0</v>
      </c>
      <c r="AS174" s="63">
        <f t="shared" si="5"/>
        <v>0</v>
      </c>
    </row>
    <row r="175" ht="15.75" customHeight="1">
      <c r="A175" s="63" t="s">
        <v>787</v>
      </c>
      <c r="W175" s="64"/>
      <c r="AO175" s="63">
        <f t="shared" si="1"/>
        <v>0</v>
      </c>
      <c r="AP175" s="63">
        <f t="shared" si="2"/>
        <v>0</v>
      </c>
      <c r="AQ175" s="63">
        <f t="shared" si="3"/>
        <v>0</v>
      </c>
      <c r="AR175" s="63">
        <f t="shared" si="4"/>
        <v>0</v>
      </c>
      <c r="AS175" s="63">
        <f t="shared" si="5"/>
        <v>0</v>
      </c>
    </row>
    <row r="176" ht="15.75" customHeight="1">
      <c r="A176" s="63" t="s">
        <v>601</v>
      </c>
      <c r="W176" s="64"/>
      <c r="AO176" s="63">
        <f t="shared" si="1"/>
        <v>0</v>
      </c>
      <c r="AP176" s="63">
        <f t="shared" si="2"/>
        <v>0</v>
      </c>
      <c r="AQ176" s="63">
        <f t="shared" si="3"/>
        <v>0</v>
      </c>
      <c r="AR176" s="63">
        <f t="shared" si="4"/>
        <v>0</v>
      </c>
      <c r="AS176" s="63">
        <f t="shared" si="5"/>
        <v>0</v>
      </c>
    </row>
    <row r="177" ht="15.75" customHeight="1">
      <c r="A177" s="63" t="s">
        <v>781</v>
      </c>
      <c r="W177" s="64"/>
      <c r="AO177" s="63">
        <f t="shared" si="1"/>
        <v>0</v>
      </c>
      <c r="AP177" s="63">
        <f t="shared" si="2"/>
        <v>0</v>
      </c>
      <c r="AQ177" s="63">
        <f t="shared" si="3"/>
        <v>0</v>
      </c>
      <c r="AR177" s="63">
        <f t="shared" si="4"/>
        <v>0</v>
      </c>
      <c r="AS177" s="63">
        <f t="shared" si="5"/>
        <v>0</v>
      </c>
    </row>
    <row r="178" ht="15.75" customHeight="1">
      <c r="A178" s="63" t="s">
        <v>525</v>
      </c>
      <c r="W178" s="64"/>
      <c r="AO178" s="63">
        <f t="shared" si="1"/>
        <v>0</v>
      </c>
      <c r="AP178" s="63">
        <f t="shared" si="2"/>
        <v>0</v>
      </c>
      <c r="AQ178" s="63">
        <f t="shared" si="3"/>
        <v>0</v>
      </c>
      <c r="AR178" s="63">
        <f t="shared" si="4"/>
        <v>0</v>
      </c>
      <c r="AS178" s="63">
        <f t="shared" si="5"/>
        <v>0</v>
      </c>
    </row>
    <row r="179" ht="15.75" customHeight="1">
      <c r="A179" s="63" t="s">
        <v>919</v>
      </c>
      <c r="W179" s="64"/>
      <c r="AO179" s="63">
        <f t="shared" si="1"/>
        <v>0</v>
      </c>
      <c r="AP179" s="63">
        <f t="shared" si="2"/>
        <v>0</v>
      </c>
      <c r="AQ179" s="63">
        <f t="shared" si="3"/>
        <v>0</v>
      </c>
      <c r="AR179" s="63">
        <f t="shared" si="4"/>
        <v>0</v>
      </c>
      <c r="AS179" s="63">
        <f t="shared" si="5"/>
        <v>0</v>
      </c>
    </row>
    <row r="180" ht="15.75" customHeight="1">
      <c r="A180" s="63" t="s">
        <v>981</v>
      </c>
      <c r="W180" s="64"/>
      <c r="AO180" s="63">
        <f t="shared" si="1"/>
        <v>0</v>
      </c>
      <c r="AP180" s="63">
        <f t="shared" si="2"/>
        <v>0</v>
      </c>
      <c r="AQ180" s="63">
        <f t="shared" si="3"/>
        <v>0</v>
      </c>
      <c r="AR180" s="63">
        <f t="shared" si="4"/>
        <v>0</v>
      </c>
      <c r="AS180" s="63">
        <f t="shared" si="5"/>
        <v>0</v>
      </c>
    </row>
    <row r="181" ht="15.75" customHeight="1">
      <c r="A181" s="63" t="s">
        <v>248</v>
      </c>
      <c r="B181" s="63">
        <v>54.0</v>
      </c>
      <c r="C181" s="63">
        <v>7.0</v>
      </c>
      <c r="D181" s="63">
        <v>789.0</v>
      </c>
      <c r="E181" s="63">
        <v>251.0</v>
      </c>
      <c r="F181" s="63">
        <v>38.0</v>
      </c>
      <c r="G181" s="63">
        <v>7.0</v>
      </c>
      <c r="I181" s="63">
        <v>77.0</v>
      </c>
      <c r="J181" s="63">
        <v>504.0</v>
      </c>
      <c r="K181" s="63">
        <v>96.0</v>
      </c>
      <c r="L181" s="63">
        <v>93.0</v>
      </c>
      <c r="O181" s="63">
        <v>5.0</v>
      </c>
      <c r="P181" s="63">
        <v>7.0</v>
      </c>
      <c r="Q181" s="63">
        <v>417.0</v>
      </c>
      <c r="R181" s="63">
        <v>38.0</v>
      </c>
      <c r="S181" s="63">
        <v>57.0</v>
      </c>
      <c r="T181" s="63">
        <v>6.0</v>
      </c>
      <c r="U181" s="63">
        <v>15.0</v>
      </c>
      <c r="V181" s="63">
        <v>6.0</v>
      </c>
      <c r="W181" s="64">
        <v>14.0</v>
      </c>
      <c r="X181" s="63">
        <v>597.0</v>
      </c>
      <c r="Y181" s="63">
        <v>45.0</v>
      </c>
      <c r="AA181" s="63">
        <v>31.0</v>
      </c>
      <c r="AC181" s="63">
        <v>55.0</v>
      </c>
      <c r="AD181" s="63">
        <v>440.0</v>
      </c>
      <c r="AE181" s="63">
        <v>1.0</v>
      </c>
      <c r="AF181" s="63">
        <v>157.0</v>
      </c>
      <c r="AI181" s="63">
        <v>42.0</v>
      </c>
      <c r="AJ181" s="63">
        <v>1.0</v>
      </c>
      <c r="AK181" s="63">
        <v>71.0</v>
      </c>
      <c r="AM181" s="63">
        <v>10.0</v>
      </c>
      <c r="AN181" s="63">
        <v>26.0</v>
      </c>
      <c r="AO181" s="63">
        <f t="shared" si="1"/>
        <v>1971</v>
      </c>
      <c r="AP181" s="63">
        <f t="shared" si="2"/>
        <v>1872</v>
      </c>
      <c r="AQ181" s="63">
        <f t="shared" si="3"/>
        <v>99</v>
      </c>
      <c r="AR181" s="63">
        <f t="shared" si="4"/>
        <v>99</v>
      </c>
      <c r="AS181" s="63">
        <f t="shared" si="5"/>
        <v>0</v>
      </c>
    </row>
    <row r="182" ht="15.75" customHeight="1">
      <c r="A182" s="63" t="s">
        <v>988</v>
      </c>
      <c r="W182" s="64"/>
      <c r="AO182" s="63">
        <f t="shared" si="1"/>
        <v>0</v>
      </c>
      <c r="AP182" s="63">
        <f t="shared" si="2"/>
        <v>0</v>
      </c>
      <c r="AQ182" s="63">
        <f t="shared" si="3"/>
        <v>0</v>
      </c>
      <c r="AR182" s="63">
        <f t="shared" si="4"/>
        <v>0</v>
      </c>
      <c r="AS182" s="63">
        <f t="shared" si="5"/>
        <v>0</v>
      </c>
    </row>
    <row r="183" ht="15.75" customHeight="1">
      <c r="A183" s="63" t="s">
        <v>784</v>
      </c>
      <c r="W183" s="64"/>
      <c r="AO183" s="63">
        <f t="shared" si="1"/>
        <v>0</v>
      </c>
      <c r="AP183" s="63">
        <f t="shared" si="2"/>
        <v>0</v>
      </c>
      <c r="AQ183" s="63">
        <f t="shared" si="3"/>
        <v>0</v>
      </c>
      <c r="AR183" s="63">
        <f t="shared" si="4"/>
        <v>0</v>
      </c>
      <c r="AS183" s="63">
        <f t="shared" si="5"/>
        <v>0</v>
      </c>
    </row>
    <row r="184" ht="15.75" customHeight="1">
      <c r="A184" s="63" t="s">
        <v>559</v>
      </c>
      <c r="W184" s="64"/>
      <c r="AO184" s="63">
        <f t="shared" si="1"/>
        <v>0</v>
      </c>
      <c r="AP184" s="63">
        <f t="shared" si="2"/>
        <v>0</v>
      </c>
      <c r="AQ184" s="63">
        <f t="shared" si="3"/>
        <v>0</v>
      </c>
      <c r="AR184" s="63">
        <f t="shared" si="4"/>
        <v>0</v>
      </c>
      <c r="AS184" s="63">
        <f t="shared" si="5"/>
        <v>0</v>
      </c>
    </row>
    <row r="185" ht="15.75" customHeight="1">
      <c r="A185" s="63" t="s">
        <v>938</v>
      </c>
      <c r="B185" s="63">
        <v>5.0</v>
      </c>
      <c r="E185" s="63">
        <v>3.0</v>
      </c>
      <c r="K185" s="63">
        <v>2.0</v>
      </c>
      <c r="S185" s="63">
        <v>6.0</v>
      </c>
      <c r="U185" s="63">
        <v>365.0</v>
      </c>
      <c r="W185" s="64"/>
      <c r="AO185" s="63">
        <f t="shared" si="1"/>
        <v>8</v>
      </c>
      <c r="AP185" s="63">
        <f t="shared" si="2"/>
        <v>2</v>
      </c>
      <c r="AQ185" s="63">
        <f t="shared" si="3"/>
        <v>6</v>
      </c>
      <c r="AR185" s="63">
        <f t="shared" si="4"/>
        <v>6</v>
      </c>
      <c r="AS185" s="63">
        <f t="shared" si="5"/>
        <v>0</v>
      </c>
    </row>
    <row r="186" ht="15.75" customHeight="1">
      <c r="A186" s="63" t="s">
        <v>256</v>
      </c>
      <c r="W186" s="64"/>
      <c r="AO186" s="63">
        <f t="shared" si="1"/>
        <v>0</v>
      </c>
      <c r="AP186" s="63">
        <f t="shared" si="2"/>
        <v>0</v>
      </c>
      <c r="AQ186" s="63">
        <f t="shared" si="3"/>
        <v>0</v>
      </c>
      <c r="AR186" s="63">
        <f t="shared" si="4"/>
        <v>0</v>
      </c>
      <c r="AS186" s="63">
        <f t="shared" si="5"/>
        <v>0</v>
      </c>
    </row>
    <row r="187" ht="15.75" customHeight="1">
      <c r="A187" s="63" t="s">
        <v>635</v>
      </c>
      <c r="B187" s="63">
        <v>2.0</v>
      </c>
      <c r="C187" s="63">
        <v>2.0</v>
      </c>
      <c r="E187" s="63">
        <v>11.0</v>
      </c>
      <c r="J187" s="63">
        <v>2.0</v>
      </c>
      <c r="K187" s="63">
        <v>5.0</v>
      </c>
      <c r="S187" s="63">
        <v>4.0</v>
      </c>
      <c r="T187" s="63">
        <v>4.0</v>
      </c>
      <c r="U187" s="63">
        <v>60.0</v>
      </c>
      <c r="W187" s="64"/>
      <c r="AO187" s="63">
        <f t="shared" si="1"/>
        <v>15</v>
      </c>
      <c r="AP187" s="63">
        <f t="shared" si="2"/>
        <v>7</v>
      </c>
      <c r="AQ187" s="63">
        <f t="shared" si="3"/>
        <v>8</v>
      </c>
      <c r="AR187" s="63">
        <f t="shared" si="4"/>
        <v>8</v>
      </c>
      <c r="AS187" s="63">
        <f t="shared" si="5"/>
        <v>0</v>
      </c>
    </row>
    <row r="188" ht="15.75" customHeight="1">
      <c r="A188" s="63" t="s">
        <v>805</v>
      </c>
      <c r="C188" s="63">
        <v>3.0</v>
      </c>
      <c r="G188" s="63">
        <v>1.0</v>
      </c>
      <c r="I188" s="63">
        <v>5.0</v>
      </c>
      <c r="J188" s="63">
        <v>7.0</v>
      </c>
      <c r="T188" s="63">
        <v>2.0</v>
      </c>
      <c r="U188" s="63">
        <v>61.0</v>
      </c>
      <c r="W188" s="64"/>
      <c r="AA188" s="63">
        <v>30.0</v>
      </c>
      <c r="AB188" s="63">
        <v>5.0</v>
      </c>
      <c r="AD188" s="63">
        <v>33.0</v>
      </c>
      <c r="AN188" s="63">
        <v>2.0</v>
      </c>
      <c r="AO188" s="63">
        <f t="shared" si="1"/>
        <v>44</v>
      </c>
      <c r="AP188" s="63">
        <f t="shared" si="2"/>
        <v>40</v>
      </c>
      <c r="AQ188" s="63">
        <f t="shared" si="3"/>
        <v>4</v>
      </c>
      <c r="AR188" s="63">
        <f t="shared" si="4"/>
        <v>4</v>
      </c>
      <c r="AS188" s="63">
        <f t="shared" si="5"/>
        <v>0</v>
      </c>
    </row>
    <row r="189" ht="15.75" customHeight="1">
      <c r="A189" s="63" t="s">
        <v>449</v>
      </c>
      <c r="W189" s="64"/>
      <c r="AO189" s="63">
        <f t="shared" si="1"/>
        <v>0</v>
      </c>
      <c r="AP189" s="63">
        <f t="shared" si="2"/>
        <v>0</v>
      </c>
      <c r="AQ189" s="63">
        <f t="shared" si="3"/>
        <v>0</v>
      </c>
      <c r="AR189" s="63">
        <f t="shared" si="4"/>
        <v>0</v>
      </c>
      <c r="AS189" s="63">
        <f t="shared" si="5"/>
        <v>0</v>
      </c>
    </row>
    <row r="190" ht="15.75" customHeight="1">
      <c r="A190" s="63" t="s">
        <v>778</v>
      </c>
      <c r="W190" s="64"/>
      <c r="AO190" s="63">
        <f t="shared" si="1"/>
        <v>0</v>
      </c>
      <c r="AP190" s="63">
        <f t="shared" si="2"/>
        <v>0</v>
      </c>
      <c r="AQ190" s="63">
        <f t="shared" si="3"/>
        <v>0</v>
      </c>
      <c r="AR190" s="63">
        <f t="shared" si="4"/>
        <v>0</v>
      </c>
      <c r="AS190" s="63">
        <f t="shared" si="5"/>
        <v>0</v>
      </c>
    </row>
    <row r="191" ht="15.75" customHeight="1">
      <c r="A191" s="63" t="s">
        <v>629</v>
      </c>
      <c r="W191" s="64"/>
      <c r="AO191" s="63">
        <f t="shared" si="1"/>
        <v>0</v>
      </c>
      <c r="AP191" s="63">
        <f t="shared" si="2"/>
        <v>0</v>
      </c>
      <c r="AQ191" s="63">
        <f t="shared" si="3"/>
        <v>0</v>
      </c>
      <c r="AR191" s="63">
        <f t="shared" si="4"/>
        <v>0</v>
      </c>
      <c r="AS191" s="63">
        <f t="shared" si="5"/>
        <v>0</v>
      </c>
    </row>
    <row r="192" ht="15.75" customHeight="1">
      <c r="A192" s="63" t="s">
        <v>760</v>
      </c>
      <c r="W192" s="64"/>
      <c r="AO192" s="63">
        <f t="shared" si="1"/>
        <v>0</v>
      </c>
      <c r="AP192" s="63">
        <f t="shared" si="2"/>
        <v>0</v>
      </c>
      <c r="AQ192" s="63">
        <f t="shared" si="3"/>
        <v>0</v>
      </c>
      <c r="AR192" s="63">
        <f t="shared" si="4"/>
        <v>0</v>
      </c>
      <c r="AS192" s="63">
        <f t="shared" si="5"/>
        <v>0</v>
      </c>
    </row>
    <row r="193" ht="15.75" customHeight="1">
      <c r="A193" s="63" t="s">
        <v>512</v>
      </c>
      <c r="W193" s="64"/>
      <c r="AO193" s="63">
        <f t="shared" si="1"/>
        <v>0</v>
      </c>
      <c r="AP193" s="63">
        <f t="shared" si="2"/>
        <v>0</v>
      </c>
      <c r="AQ193" s="63">
        <f t="shared" si="3"/>
        <v>0</v>
      </c>
      <c r="AR193" s="63">
        <f t="shared" si="4"/>
        <v>0</v>
      </c>
      <c r="AS193" s="63">
        <f t="shared" si="5"/>
        <v>0</v>
      </c>
    </row>
    <row r="194" ht="15.75" customHeight="1">
      <c r="A194" s="63" t="s">
        <v>1028</v>
      </c>
      <c r="W194" s="64"/>
      <c r="AO194" s="63">
        <f t="shared" si="1"/>
        <v>0</v>
      </c>
      <c r="AP194" s="63">
        <f t="shared" si="2"/>
        <v>0</v>
      </c>
      <c r="AQ194" s="63">
        <f t="shared" si="3"/>
        <v>0</v>
      </c>
      <c r="AR194" s="63">
        <f t="shared" si="4"/>
        <v>0</v>
      </c>
      <c r="AS194" s="63">
        <f t="shared" si="5"/>
        <v>0</v>
      </c>
    </row>
    <row r="195" ht="15.75" customHeight="1">
      <c r="A195" s="63" t="s">
        <v>1037</v>
      </c>
      <c r="W195" s="64"/>
      <c r="AO195" s="63">
        <f t="shared" si="1"/>
        <v>0</v>
      </c>
      <c r="AP195" s="63">
        <f t="shared" si="2"/>
        <v>0</v>
      </c>
      <c r="AQ195" s="63">
        <f t="shared" si="3"/>
        <v>0</v>
      </c>
      <c r="AR195" s="63">
        <f t="shared" si="4"/>
        <v>0</v>
      </c>
      <c r="AS195" s="63">
        <f t="shared" si="5"/>
        <v>0</v>
      </c>
    </row>
    <row r="196" ht="15.75" customHeight="1">
      <c r="A196" s="63" t="s">
        <v>252</v>
      </c>
      <c r="W196" s="64"/>
      <c r="AO196" s="63">
        <f t="shared" si="1"/>
        <v>0</v>
      </c>
      <c r="AP196" s="63">
        <f t="shared" si="2"/>
        <v>0</v>
      </c>
      <c r="AQ196" s="63">
        <f t="shared" si="3"/>
        <v>0</v>
      </c>
      <c r="AR196" s="63">
        <f t="shared" si="4"/>
        <v>0</v>
      </c>
      <c r="AS196" s="63">
        <f t="shared" si="5"/>
        <v>0</v>
      </c>
    </row>
    <row r="197" ht="15.75" customHeight="1">
      <c r="A197" s="63" t="s">
        <v>620</v>
      </c>
      <c r="B197" s="63">
        <v>1.0</v>
      </c>
      <c r="C197" s="63">
        <v>5.0</v>
      </c>
      <c r="D197" s="63">
        <v>49.0</v>
      </c>
      <c r="E197" s="63">
        <v>25.0</v>
      </c>
      <c r="G197" s="63">
        <v>20.0</v>
      </c>
      <c r="H197" s="63">
        <v>5.0</v>
      </c>
      <c r="I197" s="63">
        <v>2.0</v>
      </c>
      <c r="J197" s="63">
        <v>77.0</v>
      </c>
      <c r="K197" s="63">
        <v>23.0</v>
      </c>
      <c r="N197" s="63">
        <v>1.0</v>
      </c>
      <c r="S197" s="63">
        <v>4.0</v>
      </c>
      <c r="T197" s="63">
        <v>2.0</v>
      </c>
      <c r="U197" s="63">
        <v>20.0</v>
      </c>
      <c r="W197" s="64"/>
      <c r="X197" s="63">
        <v>11.0</v>
      </c>
      <c r="Y197" s="63">
        <v>7.0</v>
      </c>
      <c r="AA197" s="63">
        <v>59.0</v>
      </c>
      <c r="AD197" s="63">
        <v>72.0</v>
      </c>
      <c r="AE197" s="63">
        <v>3.0</v>
      </c>
      <c r="AI197" s="63">
        <v>1.0</v>
      </c>
      <c r="AM197" s="63">
        <v>1.0</v>
      </c>
      <c r="AO197" s="63">
        <f t="shared" si="1"/>
        <v>184</v>
      </c>
      <c r="AP197" s="63">
        <f t="shared" si="2"/>
        <v>177</v>
      </c>
      <c r="AQ197" s="63">
        <f t="shared" si="3"/>
        <v>7</v>
      </c>
      <c r="AR197" s="63">
        <f t="shared" si="4"/>
        <v>7</v>
      </c>
      <c r="AS197" s="63">
        <f t="shared" si="5"/>
        <v>0</v>
      </c>
    </row>
    <row r="198" ht="15.75" customHeight="1">
      <c r="A198" s="63" t="s">
        <v>638</v>
      </c>
      <c r="B198" s="63">
        <v>41.0</v>
      </c>
      <c r="E198" s="63">
        <v>5.0</v>
      </c>
      <c r="G198" s="63">
        <v>3.0</v>
      </c>
      <c r="H198" s="63">
        <v>4.0</v>
      </c>
      <c r="I198" s="63">
        <v>1.0</v>
      </c>
      <c r="J198" s="63">
        <v>4.0</v>
      </c>
      <c r="O198" s="63">
        <v>7.0</v>
      </c>
      <c r="P198" s="63">
        <v>1.0</v>
      </c>
      <c r="S198" s="63">
        <v>42.0</v>
      </c>
      <c r="U198" s="63">
        <v>360.0</v>
      </c>
      <c r="W198" s="64"/>
      <c r="AA198" s="63">
        <v>3.0</v>
      </c>
      <c r="AD198" s="63">
        <v>1.0</v>
      </c>
      <c r="AM198" s="63">
        <v>2.0</v>
      </c>
      <c r="AO198" s="63">
        <f t="shared" si="1"/>
        <v>57</v>
      </c>
      <c r="AP198" s="63">
        <f t="shared" si="2"/>
        <v>13</v>
      </c>
      <c r="AQ198" s="63">
        <f t="shared" si="3"/>
        <v>44</v>
      </c>
      <c r="AR198" s="63">
        <f t="shared" si="4"/>
        <v>44</v>
      </c>
      <c r="AS198" s="63">
        <f t="shared" si="5"/>
        <v>0</v>
      </c>
    </row>
    <row r="199" ht="15.75" customHeight="1">
      <c r="A199" s="63" t="s">
        <v>1034</v>
      </c>
      <c r="W199" s="64"/>
      <c r="AO199" s="63">
        <f t="shared" si="1"/>
        <v>0</v>
      </c>
      <c r="AP199" s="63">
        <f t="shared" si="2"/>
        <v>0</v>
      </c>
      <c r="AQ199" s="63">
        <f t="shared" si="3"/>
        <v>0</v>
      </c>
      <c r="AR199" s="63">
        <f t="shared" si="4"/>
        <v>0</v>
      </c>
      <c r="AS199" s="63">
        <f t="shared" si="5"/>
        <v>0</v>
      </c>
    </row>
    <row r="200" ht="15.75" customHeight="1">
      <c r="A200" s="63" t="s">
        <v>650</v>
      </c>
      <c r="W200" s="64"/>
      <c r="AO200" s="63">
        <f t="shared" si="1"/>
        <v>0</v>
      </c>
      <c r="AP200" s="63">
        <f t="shared" si="2"/>
        <v>0</v>
      </c>
      <c r="AQ200" s="63">
        <f t="shared" si="3"/>
        <v>0</v>
      </c>
      <c r="AR200" s="63">
        <f t="shared" si="4"/>
        <v>0</v>
      </c>
      <c r="AS200" s="63">
        <f t="shared" si="5"/>
        <v>0</v>
      </c>
    </row>
    <row r="201" ht="15.75" customHeight="1">
      <c r="A201" s="63" t="s">
        <v>687</v>
      </c>
      <c r="H201" s="63">
        <v>36.0</v>
      </c>
      <c r="I201" s="63">
        <v>3.0</v>
      </c>
      <c r="J201" s="63">
        <v>15.0</v>
      </c>
      <c r="L201" s="63">
        <v>20.0</v>
      </c>
      <c r="N201" s="63">
        <v>3.0</v>
      </c>
      <c r="T201" s="63">
        <v>1.0</v>
      </c>
      <c r="U201" s="63">
        <v>11.0</v>
      </c>
      <c r="W201" s="64"/>
      <c r="AA201" s="63">
        <v>5.0</v>
      </c>
      <c r="AB201" s="63">
        <v>37.0</v>
      </c>
      <c r="AD201" s="63">
        <v>29.0</v>
      </c>
      <c r="AF201" s="63">
        <v>13.0</v>
      </c>
      <c r="AO201" s="63">
        <f t="shared" si="1"/>
        <v>81</v>
      </c>
      <c r="AP201" s="63">
        <f t="shared" si="2"/>
        <v>80</v>
      </c>
      <c r="AQ201" s="63">
        <f t="shared" si="3"/>
        <v>1</v>
      </c>
      <c r="AR201" s="63">
        <f t="shared" si="4"/>
        <v>1</v>
      </c>
      <c r="AS201" s="63">
        <f t="shared" si="5"/>
        <v>0</v>
      </c>
    </row>
    <row r="202" ht="15.75" customHeight="1">
      <c r="A202" s="63" t="s">
        <v>607</v>
      </c>
      <c r="W202" s="64"/>
      <c r="AO202" s="63">
        <f t="shared" si="1"/>
        <v>0</v>
      </c>
      <c r="AP202" s="63">
        <f t="shared" si="2"/>
        <v>0</v>
      </c>
      <c r="AQ202" s="63">
        <f t="shared" si="3"/>
        <v>0</v>
      </c>
      <c r="AR202" s="63">
        <f t="shared" si="4"/>
        <v>0</v>
      </c>
      <c r="AS202" s="63">
        <f t="shared" si="5"/>
        <v>0</v>
      </c>
    </row>
    <row r="203" ht="15.75" customHeight="1">
      <c r="A203" s="63" t="s">
        <v>967</v>
      </c>
      <c r="W203" s="64"/>
      <c r="AO203" s="63">
        <f t="shared" si="1"/>
        <v>0</v>
      </c>
      <c r="AP203" s="63">
        <f t="shared" si="2"/>
        <v>0</v>
      </c>
      <c r="AQ203" s="63">
        <f t="shared" si="3"/>
        <v>0</v>
      </c>
      <c r="AR203" s="63">
        <f t="shared" si="4"/>
        <v>0</v>
      </c>
      <c r="AS203" s="63">
        <f t="shared" si="5"/>
        <v>0</v>
      </c>
    </row>
    <row r="204" ht="15.75" customHeight="1">
      <c r="A204" s="63" t="s">
        <v>518</v>
      </c>
      <c r="W204" s="64"/>
      <c r="AO204" s="63">
        <f t="shared" si="1"/>
        <v>0</v>
      </c>
      <c r="AP204" s="63">
        <f t="shared" si="2"/>
        <v>0</v>
      </c>
      <c r="AQ204" s="63">
        <f t="shared" si="3"/>
        <v>0</v>
      </c>
      <c r="AR204" s="63">
        <f t="shared" si="4"/>
        <v>0</v>
      </c>
      <c r="AS204" s="63">
        <f t="shared" si="5"/>
        <v>0</v>
      </c>
    </row>
    <row r="205" ht="15.75" customHeight="1">
      <c r="A205" s="63" t="s">
        <v>494</v>
      </c>
      <c r="W205" s="64"/>
      <c r="AO205" s="63">
        <f t="shared" si="1"/>
        <v>0</v>
      </c>
      <c r="AP205" s="63">
        <f t="shared" si="2"/>
        <v>0</v>
      </c>
      <c r="AQ205" s="63">
        <f t="shared" si="3"/>
        <v>0</v>
      </c>
      <c r="AR205" s="63">
        <f t="shared" si="4"/>
        <v>0</v>
      </c>
      <c r="AS205" s="63">
        <f t="shared" si="5"/>
        <v>0</v>
      </c>
    </row>
    <row r="206" ht="15.75" customHeight="1">
      <c r="A206" s="63" t="s">
        <v>970</v>
      </c>
      <c r="E206" s="63">
        <v>1.0</v>
      </c>
      <c r="L206" s="63">
        <v>1.0</v>
      </c>
      <c r="U206" s="63">
        <v>1.0</v>
      </c>
      <c r="W206" s="64"/>
      <c r="Y206" s="63">
        <v>11.0</v>
      </c>
      <c r="AD206" s="63">
        <v>1.0</v>
      </c>
      <c r="AF206" s="63">
        <v>10.0</v>
      </c>
      <c r="AO206" s="63">
        <f t="shared" si="1"/>
        <v>12</v>
      </c>
      <c r="AP206" s="63">
        <f t="shared" si="2"/>
        <v>12</v>
      </c>
      <c r="AQ206" s="63">
        <f t="shared" si="3"/>
        <v>0</v>
      </c>
      <c r="AR206" s="63">
        <f t="shared" si="4"/>
        <v>0</v>
      </c>
      <c r="AS206" s="63">
        <f t="shared" si="5"/>
        <v>0</v>
      </c>
    </row>
    <row r="207" ht="15.75" customHeight="1">
      <c r="A207" s="63" t="s">
        <v>808</v>
      </c>
      <c r="W207" s="64"/>
      <c r="AO207" s="63">
        <f t="shared" si="1"/>
        <v>0</v>
      </c>
      <c r="AP207" s="63">
        <f t="shared" si="2"/>
        <v>0</v>
      </c>
      <c r="AQ207" s="63">
        <f t="shared" si="3"/>
        <v>0</v>
      </c>
      <c r="AR207" s="63">
        <f t="shared" si="4"/>
        <v>0</v>
      </c>
      <c r="AS207" s="63">
        <f t="shared" si="5"/>
        <v>0</v>
      </c>
    </row>
    <row r="208" ht="15.75" customHeight="1">
      <c r="A208" s="63" t="s">
        <v>617</v>
      </c>
      <c r="W208" s="64"/>
      <c r="AO208" s="63">
        <f t="shared" si="1"/>
        <v>0</v>
      </c>
      <c r="AP208" s="63">
        <f t="shared" si="2"/>
        <v>0</v>
      </c>
      <c r="AQ208" s="63">
        <f t="shared" si="3"/>
        <v>0</v>
      </c>
      <c r="AR208" s="63">
        <f t="shared" si="4"/>
        <v>0</v>
      </c>
      <c r="AS208" s="63">
        <f t="shared" si="5"/>
        <v>0</v>
      </c>
    </row>
    <row r="209" ht="15.75" customHeight="1">
      <c r="A209" s="63" t="s">
        <v>693</v>
      </c>
      <c r="W209" s="64"/>
      <c r="AO209" s="63">
        <f t="shared" si="1"/>
        <v>0</v>
      </c>
      <c r="AP209" s="63">
        <f t="shared" si="2"/>
        <v>0</v>
      </c>
      <c r="AQ209" s="63">
        <f t="shared" si="3"/>
        <v>0</v>
      </c>
      <c r="AR209" s="63">
        <f t="shared" si="4"/>
        <v>0</v>
      </c>
      <c r="AS209" s="63">
        <f t="shared" si="5"/>
        <v>0</v>
      </c>
    </row>
    <row r="210" ht="15.75" customHeight="1">
      <c r="A210" s="63" t="s">
        <v>506</v>
      </c>
      <c r="C210" s="63">
        <v>6.0</v>
      </c>
      <c r="D210" s="63">
        <v>1.0</v>
      </c>
      <c r="E210" s="63">
        <v>2.0</v>
      </c>
      <c r="G210" s="63">
        <v>11.0</v>
      </c>
      <c r="H210" s="63">
        <v>2.0</v>
      </c>
      <c r="J210" s="63">
        <v>16.0</v>
      </c>
      <c r="T210" s="63">
        <v>6.0</v>
      </c>
      <c r="U210" s="63">
        <v>106.07</v>
      </c>
      <c r="W210" s="64">
        <v>1.0</v>
      </c>
      <c r="X210" s="63">
        <v>1.0</v>
      </c>
      <c r="AA210" s="63">
        <v>10.0</v>
      </c>
      <c r="AB210" s="63">
        <v>1.0</v>
      </c>
      <c r="AC210" s="63">
        <v>3.0</v>
      </c>
      <c r="AD210" s="63">
        <v>13.0</v>
      </c>
      <c r="AI210" s="63">
        <v>1.0</v>
      </c>
      <c r="AK210" s="63">
        <v>2.0</v>
      </c>
      <c r="AO210" s="63">
        <f t="shared" si="1"/>
        <v>38</v>
      </c>
      <c r="AP210" s="63">
        <f t="shared" si="2"/>
        <v>32</v>
      </c>
      <c r="AQ210" s="63">
        <f t="shared" si="3"/>
        <v>6</v>
      </c>
      <c r="AR210" s="63">
        <f t="shared" si="4"/>
        <v>6</v>
      </c>
      <c r="AS210" s="63">
        <f t="shared" si="5"/>
        <v>0</v>
      </c>
    </row>
    <row r="211" ht="15.75" customHeight="1">
      <c r="A211" s="63" t="s">
        <v>233</v>
      </c>
      <c r="W211" s="64"/>
      <c r="AO211" s="63">
        <f t="shared" si="1"/>
        <v>0</v>
      </c>
      <c r="AP211" s="63">
        <f t="shared" si="2"/>
        <v>0</v>
      </c>
      <c r="AQ211" s="63">
        <f t="shared" si="3"/>
        <v>0</v>
      </c>
      <c r="AR211" s="63">
        <f t="shared" si="4"/>
        <v>0</v>
      </c>
      <c r="AS211" s="63">
        <f t="shared" si="5"/>
        <v>0</v>
      </c>
    </row>
    <row r="212" ht="15.75" customHeight="1">
      <c r="A212" s="63" t="s">
        <v>723</v>
      </c>
      <c r="B212" s="63">
        <v>2.0</v>
      </c>
      <c r="S212" s="63">
        <v>2.0</v>
      </c>
      <c r="U212" s="63">
        <v>365.0</v>
      </c>
      <c r="W212" s="64"/>
      <c r="AO212" s="63">
        <f t="shared" si="1"/>
        <v>2</v>
      </c>
      <c r="AP212" s="63">
        <f t="shared" si="2"/>
        <v>0</v>
      </c>
      <c r="AQ212" s="63">
        <f t="shared" si="3"/>
        <v>2</v>
      </c>
      <c r="AR212" s="63">
        <f t="shared" si="4"/>
        <v>2</v>
      </c>
      <c r="AS212" s="63">
        <f t="shared" si="5"/>
        <v>0</v>
      </c>
    </row>
    <row r="213" ht="15.75" customHeight="1">
      <c r="A213" s="63" t="s">
        <v>922</v>
      </c>
      <c r="W213" s="64"/>
      <c r="AO213" s="63">
        <f t="shared" si="1"/>
        <v>0</v>
      </c>
      <c r="AP213" s="63">
        <f t="shared" si="2"/>
        <v>0</v>
      </c>
      <c r="AQ213" s="63">
        <f t="shared" si="3"/>
        <v>0</v>
      </c>
      <c r="AR213" s="63">
        <f t="shared" si="4"/>
        <v>0</v>
      </c>
      <c r="AS213" s="63">
        <f t="shared" si="5"/>
        <v>0</v>
      </c>
    </row>
    <row r="214" ht="15.75" customHeight="1">
      <c r="A214" s="63" t="s">
        <v>531</v>
      </c>
      <c r="W214" s="64"/>
      <c r="AO214" s="63">
        <f t="shared" si="1"/>
        <v>0</v>
      </c>
      <c r="AP214" s="63">
        <f t="shared" si="2"/>
        <v>0</v>
      </c>
      <c r="AQ214" s="63">
        <f t="shared" si="3"/>
        <v>0</v>
      </c>
      <c r="AR214" s="63">
        <f t="shared" si="4"/>
        <v>0</v>
      </c>
      <c r="AS214" s="63">
        <f t="shared" si="5"/>
        <v>0</v>
      </c>
    </row>
    <row r="215" ht="15.75" customHeight="1">
      <c r="A215" s="63" t="s">
        <v>763</v>
      </c>
      <c r="W215" s="64"/>
      <c r="AO215" s="63">
        <f t="shared" si="1"/>
        <v>0</v>
      </c>
      <c r="AP215" s="63">
        <f t="shared" si="2"/>
        <v>0</v>
      </c>
      <c r="AQ215" s="63">
        <f t="shared" si="3"/>
        <v>0</v>
      </c>
      <c r="AR215" s="63">
        <f t="shared" si="4"/>
        <v>0</v>
      </c>
      <c r="AS215" s="63">
        <f t="shared" si="5"/>
        <v>0</v>
      </c>
    </row>
    <row r="216" ht="15.75" customHeight="1">
      <c r="A216" s="63" t="s">
        <v>328</v>
      </c>
      <c r="W216" s="64"/>
      <c r="AO216" s="63">
        <f t="shared" si="1"/>
        <v>0</v>
      </c>
      <c r="AP216" s="63">
        <f t="shared" si="2"/>
        <v>0</v>
      </c>
      <c r="AQ216" s="63">
        <f t="shared" si="3"/>
        <v>0</v>
      </c>
      <c r="AR216" s="63">
        <f t="shared" si="4"/>
        <v>0</v>
      </c>
      <c r="AS216" s="63">
        <f t="shared" si="5"/>
        <v>0</v>
      </c>
    </row>
    <row r="217" ht="15.75" customHeight="1">
      <c r="A217" s="63" t="s">
        <v>352</v>
      </c>
      <c r="W217" s="64"/>
      <c r="AO217" s="63">
        <f t="shared" si="1"/>
        <v>0</v>
      </c>
      <c r="AP217" s="63">
        <f t="shared" si="2"/>
        <v>0</v>
      </c>
      <c r="AQ217" s="63">
        <f t="shared" si="3"/>
        <v>0</v>
      </c>
      <c r="AR217" s="63">
        <f t="shared" si="4"/>
        <v>0</v>
      </c>
      <c r="AS217" s="63">
        <f t="shared" si="5"/>
        <v>0</v>
      </c>
    </row>
    <row r="218" ht="15.75" customHeight="1">
      <c r="A218" s="63" t="s">
        <v>237</v>
      </c>
      <c r="G218" s="63">
        <v>9.0</v>
      </c>
      <c r="J218" s="63">
        <v>5.0</v>
      </c>
      <c r="P218" s="63">
        <v>1.0</v>
      </c>
      <c r="T218" s="63">
        <v>3.0</v>
      </c>
      <c r="U218" s="63">
        <v>28.0</v>
      </c>
      <c r="W218" s="64"/>
      <c r="X218" s="63">
        <v>2.0</v>
      </c>
      <c r="AB218" s="63">
        <v>35.0</v>
      </c>
      <c r="AD218" s="63">
        <v>37.0</v>
      </c>
      <c r="AO218" s="63">
        <f t="shared" si="1"/>
        <v>46</v>
      </c>
      <c r="AP218" s="63">
        <f t="shared" si="2"/>
        <v>43</v>
      </c>
      <c r="AQ218" s="63">
        <f t="shared" si="3"/>
        <v>3</v>
      </c>
      <c r="AR218" s="63">
        <f t="shared" si="4"/>
        <v>3</v>
      </c>
      <c r="AS218" s="63">
        <f t="shared" si="5"/>
        <v>0</v>
      </c>
    </row>
    <row r="219" ht="15.75" customHeight="1">
      <c r="A219" s="63" t="s">
        <v>950</v>
      </c>
      <c r="W219" s="64"/>
      <c r="AO219" s="63">
        <f t="shared" si="1"/>
        <v>0</v>
      </c>
      <c r="AP219" s="63">
        <f t="shared" si="2"/>
        <v>0</v>
      </c>
      <c r="AQ219" s="63">
        <f t="shared" si="3"/>
        <v>0</v>
      </c>
      <c r="AR219" s="63">
        <f t="shared" si="4"/>
        <v>0</v>
      </c>
      <c r="AS219" s="63">
        <f t="shared" si="5"/>
        <v>0</v>
      </c>
    </row>
    <row r="220" ht="15.75" customHeight="1">
      <c r="A220" s="63" t="s">
        <v>766</v>
      </c>
      <c r="W220" s="64"/>
      <c r="AO220" s="63">
        <f t="shared" si="1"/>
        <v>0</v>
      </c>
      <c r="AP220" s="63">
        <f t="shared" si="2"/>
        <v>0</v>
      </c>
      <c r="AQ220" s="63">
        <f t="shared" si="3"/>
        <v>0</v>
      </c>
      <c r="AR220" s="63">
        <f t="shared" si="4"/>
        <v>0</v>
      </c>
      <c r="AS220" s="63">
        <f t="shared" si="5"/>
        <v>0</v>
      </c>
    </row>
    <row r="221" ht="15.75" customHeight="1">
      <c r="A221" s="63" t="s">
        <v>473</v>
      </c>
      <c r="C221" s="63">
        <v>3.0</v>
      </c>
      <c r="D221" s="63">
        <v>10.0</v>
      </c>
      <c r="E221" s="63">
        <v>19.0</v>
      </c>
      <c r="G221" s="63">
        <v>89.0</v>
      </c>
      <c r="H221" s="63">
        <v>2.0</v>
      </c>
      <c r="I221" s="63">
        <v>24.0</v>
      </c>
      <c r="J221" s="63">
        <v>121.0</v>
      </c>
      <c r="L221" s="63">
        <v>12.0</v>
      </c>
      <c r="N221" s="63">
        <v>4.0</v>
      </c>
      <c r="O221" s="63">
        <v>1.0</v>
      </c>
      <c r="Q221" s="63">
        <v>1.0</v>
      </c>
      <c r="T221" s="63">
        <v>9.0</v>
      </c>
      <c r="U221" s="63">
        <v>43.6</v>
      </c>
      <c r="W221" s="64">
        <v>5.0</v>
      </c>
      <c r="X221" s="63">
        <v>13.0</v>
      </c>
      <c r="Y221" s="63">
        <v>4.0</v>
      </c>
      <c r="AA221" s="63">
        <v>120.0</v>
      </c>
      <c r="AB221" s="63">
        <v>2.0</v>
      </c>
      <c r="AC221" s="63">
        <v>42.0</v>
      </c>
      <c r="AD221" s="63">
        <v>154.0</v>
      </c>
      <c r="AF221" s="63">
        <v>3.0</v>
      </c>
      <c r="AI221" s="63">
        <v>17.0</v>
      </c>
      <c r="AK221" s="63">
        <v>3.0</v>
      </c>
      <c r="AN221" s="63">
        <v>8.0</v>
      </c>
      <c r="AO221" s="63">
        <f t="shared" si="1"/>
        <v>333</v>
      </c>
      <c r="AP221" s="63">
        <f t="shared" si="2"/>
        <v>316</v>
      </c>
      <c r="AQ221" s="63">
        <f t="shared" si="3"/>
        <v>17</v>
      </c>
      <c r="AR221" s="63">
        <f t="shared" si="4"/>
        <v>17</v>
      </c>
      <c r="AS221" s="63">
        <f t="shared" si="5"/>
        <v>0</v>
      </c>
    </row>
    <row r="222" ht="15.75" customHeight="1">
      <c r="A222" s="63" t="s">
        <v>364</v>
      </c>
      <c r="B222" s="63">
        <v>21.0</v>
      </c>
      <c r="D222" s="63">
        <v>513.0</v>
      </c>
      <c r="E222" s="63">
        <v>105.0</v>
      </c>
      <c r="F222" s="63">
        <v>14.0</v>
      </c>
      <c r="G222" s="63">
        <v>6.0</v>
      </c>
      <c r="I222" s="63">
        <v>45.0</v>
      </c>
      <c r="J222" s="63">
        <v>311.0</v>
      </c>
      <c r="K222" s="63">
        <v>71.0</v>
      </c>
      <c r="L222" s="63">
        <v>93.0</v>
      </c>
      <c r="O222" s="63">
        <v>3.0</v>
      </c>
      <c r="Q222" s="63">
        <v>201.0</v>
      </c>
      <c r="R222" s="63">
        <v>14.0</v>
      </c>
      <c r="S222" s="63">
        <v>11.0</v>
      </c>
      <c r="U222" s="63">
        <v>21.0</v>
      </c>
      <c r="V222" s="63">
        <v>1.0</v>
      </c>
      <c r="W222" s="64"/>
      <c r="X222" s="63">
        <v>272.0</v>
      </c>
      <c r="Y222" s="63">
        <v>26.0</v>
      </c>
      <c r="Z222" s="63">
        <v>1.0</v>
      </c>
      <c r="AC222" s="63">
        <v>26.0</v>
      </c>
      <c r="AD222" s="63">
        <v>126.0</v>
      </c>
      <c r="AE222" s="63">
        <v>8.0</v>
      </c>
      <c r="AF222" s="63">
        <v>123.0</v>
      </c>
      <c r="AI222" s="63">
        <v>4.0</v>
      </c>
      <c r="AK222" s="63">
        <v>61.0</v>
      </c>
      <c r="AL222" s="63">
        <v>1.0</v>
      </c>
      <c r="AM222" s="63">
        <v>3.0</v>
      </c>
      <c r="AN222" s="63">
        <v>1.0</v>
      </c>
      <c r="AO222" s="63">
        <f t="shared" si="1"/>
        <v>1030</v>
      </c>
      <c r="AP222" s="63">
        <f t="shared" si="2"/>
        <v>1016</v>
      </c>
      <c r="AQ222" s="63">
        <f t="shared" si="3"/>
        <v>15</v>
      </c>
      <c r="AR222" s="63">
        <f t="shared" si="4"/>
        <v>14</v>
      </c>
      <c r="AS222" s="63">
        <f t="shared" si="5"/>
        <v>-1</v>
      </c>
    </row>
    <row r="223" ht="15.75" customHeight="1">
      <c r="A223" s="63" t="s">
        <v>586</v>
      </c>
      <c r="T223" s="63">
        <v>1.0</v>
      </c>
      <c r="W223" s="64"/>
      <c r="AO223" s="63">
        <f t="shared" si="1"/>
        <v>0</v>
      </c>
      <c r="AP223" s="63">
        <f t="shared" si="2"/>
        <v>0</v>
      </c>
      <c r="AQ223" s="63">
        <f t="shared" si="3"/>
        <v>1</v>
      </c>
      <c r="AR223" s="63">
        <f t="shared" si="4"/>
        <v>0</v>
      </c>
      <c r="AS223" s="63">
        <f t="shared" si="5"/>
        <v>-1</v>
      </c>
    </row>
    <row r="224" ht="15.75" customHeight="1">
      <c r="A224" s="63" t="s">
        <v>528</v>
      </c>
      <c r="E224" s="63">
        <v>1.0</v>
      </c>
      <c r="G224" s="63">
        <v>14.0</v>
      </c>
      <c r="H224" s="63">
        <v>15.0</v>
      </c>
      <c r="J224" s="63">
        <v>29.0</v>
      </c>
      <c r="S224" s="63">
        <v>1.0</v>
      </c>
      <c r="T224" s="63">
        <v>1.0</v>
      </c>
      <c r="U224" s="63">
        <v>19.0</v>
      </c>
      <c r="W224" s="64"/>
      <c r="AA224" s="63">
        <v>8.0</v>
      </c>
      <c r="AB224" s="63">
        <v>27.0</v>
      </c>
      <c r="AC224" s="63">
        <v>0.0</v>
      </c>
      <c r="AD224" s="63">
        <v>34.0</v>
      </c>
      <c r="AI224" s="63">
        <v>1.0</v>
      </c>
      <c r="AO224" s="63">
        <f t="shared" si="1"/>
        <v>65</v>
      </c>
      <c r="AP224" s="63">
        <f t="shared" si="2"/>
        <v>64</v>
      </c>
      <c r="AQ224" s="63">
        <f t="shared" si="3"/>
        <v>2</v>
      </c>
      <c r="AR224" s="63">
        <f t="shared" si="4"/>
        <v>1</v>
      </c>
      <c r="AS224" s="63">
        <f t="shared" si="5"/>
        <v>-1</v>
      </c>
    </row>
    <row r="225" ht="15.75" customHeight="1">
      <c r="A225" s="63" t="s">
        <v>690</v>
      </c>
      <c r="B225" s="63">
        <v>23.0</v>
      </c>
      <c r="D225" s="63">
        <v>30.0</v>
      </c>
      <c r="E225" s="63">
        <v>12.0</v>
      </c>
      <c r="J225" s="63">
        <v>42.0</v>
      </c>
      <c r="Q225" s="63">
        <v>1.0</v>
      </c>
      <c r="S225" s="63">
        <v>23.0</v>
      </c>
      <c r="W225" s="64"/>
      <c r="X225" s="63">
        <v>44.0</v>
      </c>
      <c r="AD225" s="63">
        <v>44.0</v>
      </c>
      <c r="AO225" s="63">
        <f t="shared" si="1"/>
        <v>109</v>
      </c>
      <c r="AP225" s="63">
        <f t="shared" si="2"/>
        <v>87</v>
      </c>
      <c r="AQ225" s="63">
        <f t="shared" si="3"/>
        <v>23</v>
      </c>
      <c r="AR225" s="63">
        <f t="shared" si="4"/>
        <v>22</v>
      </c>
      <c r="AS225" s="63">
        <f t="shared" si="5"/>
        <v>-1</v>
      </c>
    </row>
    <row r="226" ht="15.75" customHeight="1">
      <c r="A226" s="63" t="s">
        <v>367</v>
      </c>
      <c r="D226" s="63">
        <v>114.0</v>
      </c>
      <c r="E226" s="63">
        <v>13.0</v>
      </c>
      <c r="K226" s="63">
        <v>24.0</v>
      </c>
      <c r="L226" s="63">
        <v>68.0</v>
      </c>
      <c r="Q226" s="63">
        <v>37.0</v>
      </c>
      <c r="U226" s="63">
        <v>4.0</v>
      </c>
      <c r="W226" s="64"/>
      <c r="X226" s="63">
        <v>48.0</v>
      </c>
      <c r="AD226" s="63">
        <v>4.0</v>
      </c>
      <c r="AF226" s="63">
        <v>35.0</v>
      </c>
      <c r="AK226" s="63">
        <v>9.0</v>
      </c>
      <c r="AO226" s="63">
        <f t="shared" si="1"/>
        <v>175</v>
      </c>
      <c r="AP226" s="63">
        <f t="shared" si="2"/>
        <v>177</v>
      </c>
      <c r="AQ226" s="63">
        <f t="shared" si="3"/>
        <v>0</v>
      </c>
      <c r="AR226" s="63">
        <f t="shared" si="4"/>
        <v>-2</v>
      </c>
      <c r="AS226" s="63">
        <f t="shared" si="5"/>
        <v>-2</v>
      </c>
    </row>
    <row r="227" ht="15.75" customHeight="1">
      <c r="A227" s="63" t="s">
        <v>726</v>
      </c>
      <c r="B227" s="63">
        <v>7.0</v>
      </c>
      <c r="C227" s="63">
        <v>1.0</v>
      </c>
      <c r="D227" s="63">
        <v>55.0</v>
      </c>
      <c r="E227" s="63">
        <v>16.0</v>
      </c>
      <c r="F227" s="63">
        <v>1.0</v>
      </c>
      <c r="I227" s="63">
        <v>70.0</v>
      </c>
      <c r="J227" s="63">
        <v>7.0</v>
      </c>
      <c r="K227" s="63">
        <v>4.0</v>
      </c>
      <c r="L227" s="63">
        <v>51.0</v>
      </c>
      <c r="N227" s="63">
        <v>69.0</v>
      </c>
      <c r="O227" s="63">
        <v>3.0</v>
      </c>
      <c r="Q227" s="63">
        <v>10.0</v>
      </c>
      <c r="R227" s="63">
        <v>1.0</v>
      </c>
      <c r="S227" s="63">
        <v>5.0</v>
      </c>
      <c r="T227" s="63">
        <v>2.0</v>
      </c>
      <c r="U227" s="63">
        <v>17.0</v>
      </c>
      <c r="V227" s="63">
        <v>2.0</v>
      </c>
      <c r="W227" s="64"/>
      <c r="X227" s="63">
        <v>89.0</v>
      </c>
      <c r="Y227" s="63">
        <v>18.0</v>
      </c>
      <c r="AC227" s="63">
        <v>9.0</v>
      </c>
      <c r="AD227" s="63">
        <v>3.0</v>
      </c>
      <c r="AF227" s="63">
        <v>73.0</v>
      </c>
      <c r="AH227" s="63">
        <v>8.0</v>
      </c>
      <c r="AI227" s="63">
        <v>14.0</v>
      </c>
      <c r="AK227" s="63">
        <v>4.0</v>
      </c>
      <c r="AM227" s="63">
        <v>8.0</v>
      </c>
      <c r="AN227" s="63">
        <v>8.0</v>
      </c>
      <c r="AO227" s="63">
        <f t="shared" si="1"/>
        <v>268</v>
      </c>
      <c r="AP227" s="63">
        <f t="shared" si="2"/>
        <v>247</v>
      </c>
      <c r="AQ227" s="63">
        <f t="shared" si="3"/>
        <v>23</v>
      </c>
      <c r="AR227" s="63">
        <f t="shared" si="4"/>
        <v>21</v>
      </c>
      <c r="AS227" s="63">
        <f t="shared" si="5"/>
        <v>-2</v>
      </c>
    </row>
    <row r="228" ht="15.75" customHeight="1">
      <c r="A228" s="63" t="s">
        <v>903</v>
      </c>
      <c r="G228" s="63">
        <v>83.0</v>
      </c>
      <c r="J228" s="63">
        <v>70.0</v>
      </c>
      <c r="L228" s="63">
        <v>10.0</v>
      </c>
      <c r="O228" s="63">
        <v>1.0</v>
      </c>
      <c r="S228" s="63">
        <v>2.0</v>
      </c>
      <c r="T228" s="63">
        <v>2.0</v>
      </c>
      <c r="U228" s="63">
        <v>62.0</v>
      </c>
      <c r="W228" s="64"/>
      <c r="AB228" s="63">
        <v>65.0</v>
      </c>
      <c r="AD228" s="63">
        <v>64.0</v>
      </c>
      <c r="AI228" s="63">
        <v>1.0</v>
      </c>
      <c r="AO228" s="63">
        <f t="shared" si="1"/>
        <v>148</v>
      </c>
      <c r="AP228" s="63">
        <f t="shared" si="2"/>
        <v>146</v>
      </c>
      <c r="AQ228" s="63">
        <f t="shared" si="3"/>
        <v>4</v>
      </c>
      <c r="AR228" s="63">
        <f t="shared" si="4"/>
        <v>2</v>
      </c>
      <c r="AS228" s="63">
        <f t="shared" si="5"/>
        <v>-2</v>
      </c>
    </row>
    <row r="229" ht="15.75" customHeight="1">
      <c r="A229" s="63" t="s">
        <v>863</v>
      </c>
      <c r="B229" s="63">
        <v>3.0</v>
      </c>
      <c r="C229" s="63">
        <v>3.0</v>
      </c>
      <c r="H229" s="63">
        <v>34.0</v>
      </c>
      <c r="J229" s="63">
        <v>32.0</v>
      </c>
      <c r="L229" s="63">
        <v>5.0</v>
      </c>
      <c r="U229" s="63">
        <v>28.0</v>
      </c>
      <c r="V229" s="63">
        <v>4.0</v>
      </c>
      <c r="W229" s="64">
        <v>4.0</v>
      </c>
      <c r="AB229" s="63">
        <v>103.0</v>
      </c>
      <c r="AD229" s="63">
        <v>85.0</v>
      </c>
      <c r="AF229" s="63">
        <v>6.0</v>
      </c>
      <c r="AI229" s="63">
        <v>7.0</v>
      </c>
      <c r="AM229" s="63">
        <v>9.0</v>
      </c>
      <c r="AN229" s="63">
        <v>9.0</v>
      </c>
      <c r="AO229" s="63">
        <f t="shared" si="1"/>
        <v>151</v>
      </c>
      <c r="AP229" s="63">
        <f t="shared" si="2"/>
        <v>135</v>
      </c>
      <c r="AQ229" s="63">
        <f t="shared" si="3"/>
        <v>18</v>
      </c>
      <c r="AR229" s="63">
        <f t="shared" si="4"/>
        <v>16</v>
      </c>
      <c r="AS229" s="63">
        <f t="shared" si="5"/>
        <v>-2</v>
      </c>
    </row>
    <row r="230" ht="15.75" customHeight="1">
      <c r="A230" s="63" t="s">
        <v>484</v>
      </c>
      <c r="B230" s="63">
        <v>7.0</v>
      </c>
      <c r="D230" s="63">
        <v>7.0</v>
      </c>
      <c r="J230" s="63">
        <v>2.0</v>
      </c>
      <c r="L230" s="63">
        <v>2.0</v>
      </c>
      <c r="Q230" s="63">
        <v>5.0</v>
      </c>
      <c r="S230" s="63">
        <v>7.0</v>
      </c>
      <c r="U230" s="63">
        <v>5.0</v>
      </c>
      <c r="V230" s="63">
        <v>1.0</v>
      </c>
      <c r="W230" s="64"/>
      <c r="X230" s="63">
        <v>1.0</v>
      </c>
      <c r="AD230" s="63">
        <v>1.0</v>
      </c>
      <c r="AF230" s="63">
        <v>1.0</v>
      </c>
      <c r="AM230" s="63">
        <v>1.0</v>
      </c>
      <c r="AO230" s="63">
        <f t="shared" si="1"/>
        <v>16</v>
      </c>
      <c r="AP230" s="63">
        <f t="shared" si="2"/>
        <v>11</v>
      </c>
      <c r="AQ230" s="63">
        <f t="shared" si="3"/>
        <v>8</v>
      </c>
      <c r="AR230" s="63">
        <f t="shared" si="4"/>
        <v>5</v>
      </c>
      <c r="AS230" s="63">
        <f t="shared" si="5"/>
        <v>-3</v>
      </c>
    </row>
    <row r="231" ht="15.75" customHeight="1">
      <c r="A231" s="63" t="s">
        <v>893</v>
      </c>
      <c r="B231" s="63">
        <v>20.0</v>
      </c>
      <c r="C231" s="63">
        <v>2.0</v>
      </c>
      <c r="D231" s="63">
        <v>26.0</v>
      </c>
      <c r="E231" s="63">
        <v>58.0</v>
      </c>
      <c r="G231" s="63">
        <v>2.0</v>
      </c>
      <c r="H231" s="63">
        <v>3.0</v>
      </c>
      <c r="I231" s="63">
        <v>17.0</v>
      </c>
      <c r="J231" s="63">
        <v>106.0</v>
      </c>
      <c r="K231" s="63">
        <v>2.0</v>
      </c>
      <c r="M231" s="63">
        <v>1.0</v>
      </c>
      <c r="O231" s="63">
        <v>2.0</v>
      </c>
      <c r="S231" s="63">
        <v>16.0</v>
      </c>
      <c r="U231" s="63">
        <v>23.1</v>
      </c>
      <c r="V231" s="63">
        <v>13.0</v>
      </c>
      <c r="W231" s="64"/>
      <c r="X231" s="63">
        <v>195.0</v>
      </c>
      <c r="Y231" s="63">
        <v>81.0</v>
      </c>
      <c r="AA231" s="63">
        <v>3.0</v>
      </c>
      <c r="AB231" s="63">
        <v>6.0</v>
      </c>
      <c r="AC231" s="63">
        <v>19.0</v>
      </c>
      <c r="AD231" s="63">
        <v>289.0</v>
      </c>
      <c r="AE231" s="63">
        <v>6.0</v>
      </c>
      <c r="AI231" s="63">
        <v>5.0</v>
      </c>
      <c r="AM231" s="63">
        <v>17.0</v>
      </c>
      <c r="AN231" s="63">
        <v>5.0</v>
      </c>
      <c r="AO231" s="63">
        <f t="shared" si="1"/>
        <v>445</v>
      </c>
      <c r="AP231" s="63">
        <f t="shared" si="2"/>
        <v>411</v>
      </c>
      <c r="AQ231" s="63">
        <f t="shared" si="3"/>
        <v>38</v>
      </c>
      <c r="AR231" s="63">
        <f t="shared" si="4"/>
        <v>34</v>
      </c>
      <c r="AS231" s="63">
        <f t="shared" si="5"/>
        <v>-4</v>
      </c>
    </row>
    <row r="232" ht="15.75" customHeight="1">
      <c r="A232" s="63" t="s">
        <v>665</v>
      </c>
      <c r="B232" s="63">
        <v>19.0</v>
      </c>
      <c r="D232" s="63">
        <v>36.0</v>
      </c>
      <c r="E232" s="63">
        <v>33.0</v>
      </c>
      <c r="I232" s="63">
        <v>105.0</v>
      </c>
      <c r="J232" s="63">
        <v>57.0</v>
      </c>
      <c r="K232" s="63">
        <v>4.0</v>
      </c>
      <c r="L232" s="63">
        <v>15.0</v>
      </c>
      <c r="N232" s="63">
        <v>98.0</v>
      </c>
      <c r="O232" s="63">
        <v>5.0</v>
      </c>
      <c r="S232" s="63">
        <v>14.0</v>
      </c>
      <c r="U232" s="63">
        <v>73.5999999999999</v>
      </c>
      <c r="V232" s="63">
        <v>20.0</v>
      </c>
      <c r="W232" s="64"/>
      <c r="X232" s="63">
        <v>111.0</v>
      </c>
      <c r="Y232" s="63">
        <v>3.0</v>
      </c>
      <c r="AC232" s="63">
        <v>16.0</v>
      </c>
      <c r="AD232" s="63">
        <v>81.0</v>
      </c>
      <c r="AF232" s="63">
        <v>25.0</v>
      </c>
      <c r="AH232" s="63">
        <v>15.0</v>
      </c>
      <c r="AI232" s="63">
        <v>7.0</v>
      </c>
      <c r="AM232" s="63">
        <v>22.0</v>
      </c>
      <c r="AN232" s="63">
        <v>5.0</v>
      </c>
      <c r="AO232" s="63">
        <f t="shared" si="1"/>
        <v>343</v>
      </c>
      <c r="AP232" s="63">
        <f t="shared" si="2"/>
        <v>307</v>
      </c>
      <c r="AQ232" s="63">
        <f t="shared" si="3"/>
        <v>41</v>
      </c>
      <c r="AR232" s="63">
        <f t="shared" si="4"/>
        <v>36</v>
      </c>
      <c r="AS232" s="63">
        <f t="shared" si="5"/>
        <v>-5</v>
      </c>
    </row>
    <row r="233" ht="15.75" customHeight="1">
      <c r="A233" s="63" t="s">
        <v>659</v>
      </c>
      <c r="B233" s="63">
        <v>31.0</v>
      </c>
      <c r="C233" s="63">
        <v>2.0</v>
      </c>
      <c r="D233" s="63">
        <v>411.0</v>
      </c>
      <c r="E233" s="63">
        <v>829.0</v>
      </c>
      <c r="F233" s="63">
        <v>55.0</v>
      </c>
      <c r="G233" s="63">
        <v>102.0</v>
      </c>
      <c r="H233" s="63">
        <v>90.0</v>
      </c>
      <c r="I233" s="63">
        <v>24.0</v>
      </c>
      <c r="J233" s="63">
        <v>1050.0</v>
      </c>
      <c r="K233" s="63">
        <v>224.0</v>
      </c>
      <c r="L233" s="63">
        <v>6.0</v>
      </c>
      <c r="N233" s="63">
        <v>16.0</v>
      </c>
      <c r="O233" s="63">
        <v>6.0</v>
      </c>
      <c r="P233" s="63">
        <v>1.0</v>
      </c>
      <c r="Q233" s="63">
        <v>195.0</v>
      </c>
      <c r="R233" s="63">
        <v>55.0</v>
      </c>
      <c r="S233" s="63">
        <v>38.0</v>
      </c>
      <c r="T233" s="63">
        <v>6.0</v>
      </c>
      <c r="U233" s="63">
        <v>12.4</v>
      </c>
      <c r="V233" s="63">
        <v>8.0</v>
      </c>
      <c r="W233" s="64">
        <v>15.0</v>
      </c>
      <c r="X233" s="63">
        <v>160.0</v>
      </c>
      <c r="Y233" s="63">
        <v>195.0</v>
      </c>
      <c r="Z233" s="63">
        <v>1.0</v>
      </c>
      <c r="AA233" s="63">
        <v>144.0</v>
      </c>
      <c r="AB233" s="63">
        <v>78.0</v>
      </c>
      <c r="AD233" s="63">
        <v>494.0</v>
      </c>
      <c r="AE233" s="63">
        <v>5.0</v>
      </c>
      <c r="AI233" s="63">
        <v>23.0</v>
      </c>
      <c r="AK233" s="63">
        <v>17.0</v>
      </c>
      <c r="AL233" s="63">
        <v>1.0</v>
      </c>
      <c r="AM233" s="63">
        <v>9.0</v>
      </c>
      <c r="AN233" s="63">
        <v>5.0</v>
      </c>
      <c r="AO233" s="63">
        <f t="shared" si="1"/>
        <v>2145</v>
      </c>
      <c r="AP233" s="63">
        <f t="shared" si="2"/>
        <v>2093</v>
      </c>
      <c r="AQ233" s="63">
        <f t="shared" si="3"/>
        <v>58</v>
      </c>
      <c r="AR233" s="63">
        <f t="shared" si="4"/>
        <v>52</v>
      </c>
      <c r="AS233" s="63">
        <f t="shared" si="5"/>
        <v>-6</v>
      </c>
    </row>
    <row r="234" ht="15.75" customHeight="1">
      <c r="A234" s="63" t="s">
        <v>715</v>
      </c>
      <c r="B234" s="63">
        <v>6.0</v>
      </c>
      <c r="C234" s="63">
        <v>4.0</v>
      </c>
      <c r="D234" s="63">
        <v>5.0</v>
      </c>
      <c r="E234" s="63">
        <v>11.0</v>
      </c>
      <c r="G234" s="63">
        <v>64.0</v>
      </c>
      <c r="H234" s="63">
        <v>9.0</v>
      </c>
      <c r="J234" s="63">
        <v>71.0</v>
      </c>
      <c r="L234" s="63">
        <v>1.0</v>
      </c>
      <c r="N234" s="63">
        <v>4.0</v>
      </c>
      <c r="O234" s="63">
        <v>2.0</v>
      </c>
      <c r="S234" s="63">
        <v>18.0</v>
      </c>
      <c r="T234" s="63">
        <v>6.0</v>
      </c>
      <c r="U234" s="63">
        <v>54.0</v>
      </c>
      <c r="V234" s="63">
        <v>15.0</v>
      </c>
      <c r="W234" s="64">
        <v>7.0</v>
      </c>
      <c r="X234" s="63">
        <v>65.0</v>
      </c>
      <c r="Y234" s="63">
        <v>4.0</v>
      </c>
      <c r="AA234" s="63">
        <v>448.0</v>
      </c>
      <c r="AB234" s="63">
        <v>15.0</v>
      </c>
      <c r="AD234" s="63">
        <v>405.0</v>
      </c>
      <c r="AF234" s="63">
        <v>10.0</v>
      </c>
      <c r="AI234" s="63">
        <v>99.0</v>
      </c>
      <c r="AK234" s="63">
        <v>6.0</v>
      </c>
      <c r="AM234" s="63">
        <v>27.0</v>
      </c>
      <c r="AN234" s="63">
        <v>11.0</v>
      </c>
      <c r="AO234" s="63">
        <f t="shared" si="1"/>
        <v>653</v>
      </c>
      <c r="AP234" s="63">
        <f t="shared" si="2"/>
        <v>598</v>
      </c>
      <c r="AQ234" s="63">
        <f t="shared" si="3"/>
        <v>62</v>
      </c>
      <c r="AR234" s="63">
        <f t="shared" si="4"/>
        <v>55</v>
      </c>
      <c r="AS234" s="63">
        <f t="shared" si="5"/>
        <v>-7</v>
      </c>
    </row>
    <row r="235" ht="15.75" customHeight="1">
      <c r="A235" s="63" t="s">
        <v>503</v>
      </c>
      <c r="B235" s="63">
        <v>10.0</v>
      </c>
      <c r="C235" s="63">
        <v>10.0</v>
      </c>
      <c r="D235" s="63">
        <v>3.0</v>
      </c>
      <c r="G235" s="63">
        <v>7.0</v>
      </c>
      <c r="J235" s="63">
        <v>2.0</v>
      </c>
      <c r="S235" s="63">
        <v>18.0</v>
      </c>
      <c r="T235" s="63">
        <v>18.0</v>
      </c>
      <c r="U235" s="63">
        <v>106.0</v>
      </c>
      <c r="V235" s="63">
        <v>10.0</v>
      </c>
      <c r="W235" s="64">
        <v>10.0</v>
      </c>
      <c r="X235" s="63">
        <v>46.0</v>
      </c>
      <c r="AD235" s="63">
        <v>46.0</v>
      </c>
      <c r="AM235" s="63">
        <v>10.0</v>
      </c>
      <c r="AN235" s="63">
        <v>10.0</v>
      </c>
      <c r="AO235" s="63">
        <f t="shared" si="1"/>
        <v>96</v>
      </c>
      <c r="AP235" s="63">
        <f t="shared" si="2"/>
        <v>48</v>
      </c>
      <c r="AQ235" s="63">
        <f t="shared" si="3"/>
        <v>56</v>
      </c>
      <c r="AR235" s="63">
        <f t="shared" si="4"/>
        <v>48</v>
      </c>
      <c r="AS235" s="63">
        <f t="shared" si="5"/>
        <v>-8</v>
      </c>
    </row>
    <row r="236" ht="15.75" customHeight="1">
      <c r="A236" s="63" t="s">
        <v>266</v>
      </c>
      <c r="B236" s="63">
        <v>16.0</v>
      </c>
      <c r="C236" s="63">
        <v>5.0</v>
      </c>
      <c r="D236" s="63">
        <v>79.0</v>
      </c>
      <c r="E236" s="63">
        <v>62.0</v>
      </c>
      <c r="G236" s="63">
        <v>13.0</v>
      </c>
      <c r="H236" s="63">
        <v>136.0</v>
      </c>
      <c r="J236" s="63">
        <v>279.0</v>
      </c>
      <c r="K236" s="63">
        <v>3.0</v>
      </c>
      <c r="O236" s="63">
        <v>12.0</v>
      </c>
      <c r="Q236" s="63">
        <v>3.0</v>
      </c>
      <c r="S236" s="63">
        <v>32.0</v>
      </c>
      <c r="T236" s="63">
        <v>3.0</v>
      </c>
      <c r="U236" s="63">
        <v>14.0</v>
      </c>
      <c r="W236" s="64">
        <v>3.0</v>
      </c>
      <c r="X236" s="63">
        <v>5.0</v>
      </c>
      <c r="AA236" s="63">
        <v>2.0</v>
      </c>
      <c r="AB236" s="63">
        <v>25.0</v>
      </c>
      <c r="AD236" s="63">
        <v>20.0</v>
      </c>
      <c r="AI236" s="63">
        <v>2.0</v>
      </c>
      <c r="AM236" s="63">
        <v>5.0</v>
      </c>
      <c r="AO236" s="63">
        <f t="shared" si="1"/>
        <v>346</v>
      </c>
      <c r="AP236" s="63">
        <f t="shared" si="2"/>
        <v>319</v>
      </c>
      <c r="AQ236" s="63">
        <f t="shared" si="3"/>
        <v>40</v>
      </c>
      <c r="AR236" s="63">
        <f t="shared" si="4"/>
        <v>27</v>
      </c>
      <c r="AS236" s="63">
        <f t="shared" si="5"/>
        <v>-13</v>
      </c>
    </row>
    <row r="237" ht="15.75" customHeight="1">
      <c r="A237" s="63" t="s">
        <v>715</v>
      </c>
      <c r="B237" s="63">
        <v>6.0</v>
      </c>
      <c r="C237" s="63">
        <v>4.0</v>
      </c>
      <c r="D237" s="63">
        <v>5.0</v>
      </c>
      <c r="E237" s="63">
        <v>5.0</v>
      </c>
      <c r="G237" s="63">
        <v>64.0</v>
      </c>
      <c r="H237" s="63">
        <v>9.0</v>
      </c>
      <c r="J237" s="63">
        <v>71.0</v>
      </c>
      <c r="L237" s="63">
        <v>1.0</v>
      </c>
      <c r="N237" s="63">
        <v>4.0</v>
      </c>
      <c r="O237" s="63">
        <v>2.0</v>
      </c>
      <c r="S237" s="63">
        <v>18.0</v>
      </c>
      <c r="T237" s="63">
        <v>6.0</v>
      </c>
      <c r="U237" s="63">
        <v>54.0</v>
      </c>
      <c r="V237" s="63">
        <v>15.0</v>
      </c>
      <c r="W237" s="64">
        <v>7.0</v>
      </c>
      <c r="X237" s="63">
        <v>65.0</v>
      </c>
      <c r="Y237" s="63">
        <v>4.0</v>
      </c>
      <c r="AA237" s="63">
        <v>448.0</v>
      </c>
      <c r="AB237" s="63">
        <v>15.0</v>
      </c>
      <c r="AD237" s="63">
        <v>405.0</v>
      </c>
      <c r="AF237" s="63">
        <v>10.0</v>
      </c>
      <c r="AI237" s="63">
        <v>99.0</v>
      </c>
      <c r="AK237" s="63">
        <v>6.0</v>
      </c>
      <c r="AM237" s="63">
        <v>27.0</v>
      </c>
      <c r="AN237" s="63">
        <v>11.0</v>
      </c>
      <c r="AO237" s="63">
        <f t="shared" si="1"/>
        <v>647</v>
      </c>
      <c r="AP237" s="63">
        <f t="shared" si="2"/>
        <v>598</v>
      </c>
      <c r="AQ237" s="63">
        <f t="shared" si="3"/>
        <v>62</v>
      </c>
      <c r="AR237" s="63">
        <f t="shared" si="4"/>
        <v>49</v>
      </c>
      <c r="AS237" s="63">
        <f t="shared" si="5"/>
        <v>-13</v>
      </c>
    </row>
    <row r="238" ht="15.75" customHeight="1">
      <c r="A238" s="63" t="s">
        <v>344</v>
      </c>
      <c r="C238" s="63">
        <v>4.0</v>
      </c>
      <c r="D238" s="63">
        <v>20.0</v>
      </c>
      <c r="E238" s="63">
        <v>4.0</v>
      </c>
      <c r="I238" s="63">
        <v>51.0</v>
      </c>
      <c r="J238" s="63">
        <v>12.0</v>
      </c>
      <c r="K238" s="63">
        <v>1.0</v>
      </c>
      <c r="L238" s="63">
        <v>10.0</v>
      </c>
      <c r="N238" s="63">
        <v>46.0</v>
      </c>
      <c r="O238" s="63">
        <v>1.0</v>
      </c>
      <c r="Q238" s="63">
        <v>2.0</v>
      </c>
      <c r="T238" s="63">
        <v>3.0</v>
      </c>
      <c r="U238" s="63">
        <v>20.0</v>
      </c>
      <c r="W238" s="64"/>
      <c r="X238" s="63">
        <v>3.0</v>
      </c>
      <c r="Y238" s="63">
        <v>6.0</v>
      </c>
      <c r="AC238" s="63">
        <v>10.0</v>
      </c>
      <c r="AD238" s="63">
        <v>7.0</v>
      </c>
      <c r="AF238" s="63">
        <v>10.0</v>
      </c>
      <c r="AH238" s="63">
        <v>17.0</v>
      </c>
      <c r="AK238" s="63">
        <v>2.0</v>
      </c>
      <c r="AO238" s="63">
        <f t="shared" si="1"/>
        <v>98</v>
      </c>
      <c r="AP238" s="63">
        <f t="shared" si="2"/>
        <v>108</v>
      </c>
      <c r="AQ238" s="63">
        <f t="shared" si="3"/>
        <v>3</v>
      </c>
      <c r="AR238" s="63">
        <f t="shared" si="4"/>
        <v>-10</v>
      </c>
      <c r="AS238" s="63">
        <f t="shared" si="5"/>
        <v>-13</v>
      </c>
    </row>
    <row r="239" ht="15.75" customHeight="1">
      <c r="A239" s="63" t="s">
        <v>857</v>
      </c>
      <c r="D239" s="63">
        <v>3.0</v>
      </c>
      <c r="E239" s="63">
        <v>9.0</v>
      </c>
      <c r="J239" s="63">
        <v>6.0</v>
      </c>
      <c r="P239" s="63">
        <v>1.0</v>
      </c>
      <c r="Q239" s="63">
        <v>1.0</v>
      </c>
      <c r="S239" s="63">
        <v>4.0</v>
      </c>
      <c r="T239" s="63">
        <v>4.0</v>
      </c>
      <c r="U239" s="63">
        <v>30.0</v>
      </c>
      <c r="W239" s="64"/>
      <c r="X239" s="63">
        <v>20.0</v>
      </c>
      <c r="Y239" s="63">
        <v>14.0</v>
      </c>
      <c r="AB239" s="63">
        <v>4.0</v>
      </c>
      <c r="AD239" s="63">
        <v>27.0</v>
      </c>
      <c r="AI239" s="63">
        <v>2.0</v>
      </c>
      <c r="AM239" s="63">
        <v>9.0</v>
      </c>
      <c r="AN239" s="63">
        <v>9.0</v>
      </c>
      <c r="AO239" s="63">
        <f t="shared" si="1"/>
        <v>50</v>
      </c>
      <c r="AP239" s="63">
        <f t="shared" si="2"/>
        <v>37</v>
      </c>
      <c r="AQ239" s="63">
        <f t="shared" si="3"/>
        <v>26</v>
      </c>
      <c r="AR239" s="63">
        <f t="shared" si="4"/>
        <v>13</v>
      </c>
      <c r="AS239" s="63">
        <f t="shared" si="5"/>
        <v>-13</v>
      </c>
    </row>
    <row r="240" ht="15.75" customHeight="1">
      <c r="A240" s="63" t="s">
        <v>814</v>
      </c>
      <c r="D240" s="63">
        <v>8.0</v>
      </c>
      <c r="E240" s="63">
        <v>1.0</v>
      </c>
      <c r="H240" s="63">
        <v>1.0</v>
      </c>
      <c r="J240" s="63">
        <v>6.0</v>
      </c>
      <c r="K240" s="63">
        <v>4.0</v>
      </c>
      <c r="S240" s="63">
        <v>8.0</v>
      </c>
      <c r="U240" s="63">
        <v>35.0</v>
      </c>
      <c r="W240" s="64"/>
      <c r="X240" s="63">
        <v>6.0</v>
      </c>
      <c r="AB240" s="63">
        <v>2.0</v>
      </c>
      <c r="AD240" s="63">
        <v>7.0</v>
      </c>
      <c r="AI240" s="63">
        <v>1.0</v>
      </c>
      <c r="AM240" s="63">
        <v>7.0</v>
      </c>
      <c r="AO240" s="63">
        <f t="shared" si="1"/>
        <v>18</v>
      </c>
      <c r="AP240" s="63">
        <f t="shared" si="2"/>
        <v>18</v>
      </c>
      <c r="AQ240" s="63">
        <f t="shared" si="3"/>
        <v>15</v>
      </c>
      <c r="AR240" s="63">
        <f t="shared" si="4"/>
        <v>0</v>
      </c>
      <c r="AS240" s="63">
        <f t="shared" si="5"/>
        <v>-15</v>
      </c>
    </row>
    <row r="241" ht="15.75" customHeight="1">
      <c r="A241" s="63" t="s">
        <v>699</v>
      </c>
      <c r="B241" s="63">
        <v>38.0</v>
      </c>
      <c r="D241" s="63">
        <v>235.0</v>
      </c>
      <c r="E241" s="63">
        <v>137.0</v>
      </c>
      <c r="F241" s="63">
        <v>43.0</v>
      </c>
      <c r="H241" s="63">
        <v>47.0</v>
      </c>
      <c r="J241" s="63">
        <v>346.0</v>
      </c>
      <c r="K241" s="63">
        <v>57.0</v>
      </c>
      <c r="L241" s="63">
        <v>2.0</v>
      </c>
      <c r="O241" s="63">
        <v>7.0</v>
      </c>
      <c r="Q241" s="63">
        <v>19.0</v>
      </c>
      <c r="R241" s="63">
        <v>43.0</v>
      </c>
      <c r="S241" s="63">
        <v>45.0</v>
      </c>
      <c r="U241" s="63">
        <v>19.0</v>
      </c>
      <c r="V241" s="63">
        <v>50.0</v>
      </c>
      <c r="W241" s="64">
        <v>10.0</v>
      </c>
      <c r="X241" s="63">
        <v>374.0</v>
      </c>
      <c r="Y241" s="63">
        <v>195.0</v>
      </c>
      <c r="Z241" s="63">
        <v>3.0</v>
      </c>
      <c r="AA241" s="63">
        <v>47.0</v>
      </c>
      <c r="AB241" s="63">
        <v>100.0</v>
      </c>
      <c r="AC241" s="63">
        <v>15.0</v>
      </c>
      <c r="AD241" s="63">
        <v>632.0</v>
      </c>
      <c r="AE241" s="63">
        <v>18.0</v>
      </c>
      <c r="AF241" s="63">
        <v>13.0</v>
      </c>
      <c r="AI241" s="63">
        <v>45.0</v>
      </c>
      <c r="AK241" s="63">
        <v>26.0</v>
      </c>
      <c r="AL241" s="63">
        <v>3.0</v>
      </c>
      <c r="AM241" s="63">
        <v>42.0</v>
      </c>
      <c r="AN241" s="63">
        <v>12.0</v>
      </c>
      <c r="AO241" s="63">
        <f t="shared" si="1"/>
        <v>1294</v>
      </c>
      <c r="AP241" s="63">
        <f t="shared" si="2"/>
        <v>1211</v>
      </c>
      <c r="AQ241" s="63">
        <f t="shared" si="3"/>
        <v>99</v>
      </c>
      <c r="AR241" s="63">
        <f t="shared" si="4"/>
        <v>83</v>
      </c>
      <c r="AS241" s="63">
        <f t="shared" si="5"/>
        <v>-16</v>
      </c>
    </row>
    <row r="242" ht="15.75" customHeight="1">
      <c r="A242" s="63" t="s">
        <v>537</v>
      </c>
      <c r="B242" s="63">
        <v>89.0</v>
      </c>
      <c r="D242" s="63">
        <v>54.0</v>
      </c>
      <c r="E242" s="63">
        <v>21.0</v>
      </c>
      <c r="G242" s="63">
        <v>7.0</v>
      </c>
      <c r="J242" s="63">
        <v>56.0</v>
      </c>
      <c r="K242" s="63">
        <v>16.0</v>
      </c>
      <c r="L242" s="63">
        <v>13.0</v>
      </c>
      <c r="O242" s="63">
        <v>1.0</v>
      </c>
      <c r="Q242" s="63">
        <v>10.0</v>
      </c>
      <c r="S242" s="63">
        <v>89.0</v>
      </c>
      <c r="U242" s="63">
        <v>28.0</v>
      </c>
      <c r="V242" s="63">
        <v>89.0</v>
      </c>
      <c r="W242" s="64"/>
      <c r="X242" s="63">
        <v>63.0</v>
      </c>
      <c r="Y242" s="63">
        <v>9.0</v>
      </c>
      <c r="AA242" s="63">
        <v>14.0</v>
      </c>
      <c r="AD242" s="63">
        <v>58.0</v>
      </c>
      <c r="AE242" s="63">
        <v>15.0</v>
      </c>
      <c r="AF242" s="63">
        <v>8.0</v>
      </c>
      <c r="AK242" s="63">
        <v>10.0</v>
      </c>
      <c r="AM242" s="63">
        <v>89.0</v>
      </c>
      <c r="AO242" s="63">
        <f t="shared" si="1"/>
        <v>346</v>
      </c>
      <c r="AP242" s="63">
        <f t="shared" si="2"/>
        <v>187</v>
      </c>
      <c r="AQ242" s="63">
        <f t="shared" si="3"/>
        <v>178</v>
      </c>
      <c r="AR242" s="63">
        <f t="shared" si="4"/>
        <v>159</v>
      </c>
      <c r="AS242" s="63">
        <f t="shared" si="5"/>
        <v>-19</v>
      </c>
    </row>
    <row r="243" ht="15.75" customHeight="1">
      <c r="A243" s="63" t="s">
        <v>304</v>
      </c>
      <c r="B243" s="63">
        <v>12.0</v>
      </c>
      <c r="D243" s="63">
        <v>86.0</v>
      </c>
      <c r="E243" s="63">
        <v>9.0</v>
      </c>
      <c r="J243" s="63">
        <v>28.0</v>
      </c>
      <c r="K243" s="63">
        <v>6.0</v>
      </c>
      <c r="L243" s="63">
        <v>40.0</v>
      </c>
      <c r="Q243" s="63">
        <v>20.0</v>
      </c>
      <c r="S243" s="63">
        <v>7.0</v>
      </c>
      <c r="U243" s="63">
        <v>24.0</v>
      </c>
      <c r="W243" s="64"/>
      <c r="X243" s="63">
        <v>42.0</v>
      </c>
      <c r="Y243" s="63">
        <v>19.0</v>
      </c>
      <c r="AD243" s="63">
        <v>48.0</v>
      </c>
      <c r="AE243" s="63">
        <v>2.0</v>
      </c>
      <c r="AF243" s="63">
        <v>31.0</v>
      </c>
      <c r="AK243" s="63">
        <v>14.0</v>
      </c>
      <c r="AO243" s="63">
        <f t="shared" si="1"/>
        <v>168</v>
      </c>
      <c r="AP243" s="63">
        <f t="shared" si="2"/>
        <v>189</v>
      </c>
      <c r="AQ243" s="63">
        <f t="shared" si="3"/>
        <v>7</v>
      </c>
      <c r="AR243" s="63">
        <f t="shared" si="4"/>
        <v>-21</v>
      </c>
      <c r="AS243" s="63">
        <f t="shared" si="5"/>
        <v>-28</v>
      </c>
    </row>
    <row r="244" ht="15.75" customHeight="1">
      <c r="A244" s="63" t="s">
        <v>681</v>
      </c>
      <c r="B244" s="63">
        <v>31.0</v>
      </c>
      <c r="C244" s="63">
        <v>3.0</v>
      </c>
      <c r="D244" s="63">
        <v>39.0</v>
      </c>
      <c r="E244" s="63">
        <v>22.0</v>
      </c>
      <c r="G244" s="63">
        <v>138.0</v>
      </c>
      <c r="H244" s="63">
        <v>63.0</v>
      </c>
      <c r="J244" s="63">
        <v>262.0</v>
      </c>
      <c r="K244" s="63">
        <v>20.0</v>
      </c>
      <c r="L244" s="63">
        <v>1.0</v>
      </c>
      <c r="Q244" s="63">
        <v>2.0</v>
      </c>
      <c r="S244" s="63">
        <v>33.0</v>
      </c>
      <c r="T244" s="63">
        <v>7.0</v>
      </c>
      <c r="U244" s="63">
        <v>18.0</v>
      </c>
      <c r="W244" s="64"/>
      <c r="X244" s="63">
        <v>36.0</v>
      </c>
      <c r="AA244" s="63">
        <v>73.0</v>
      </c>
      <c r="AB244" s="63">
        <v>39.0</v>
      </c>
      <c r="AD244" s="63">
        <v>149.0</v>
      </c>
      <c r="AO244" s="63">
        <f t="shared" si="1"/>
        <v>444</v>
      </c>
      <c r="AP244" s="63">
        <f t="shared" si="2"/>
        <v>434</v>
      </c>
      <c r="AQ244" s="63">
        <f t="shared" si="3"/>
        <v>40</v>
      </c>
      <c r="AR244" s="63">
        <f t="shared" si="4"/>
        <v>10</v>
      </c>
      <c r="AS244" s="63">
        <f t="shared" si="5"/>
        <v>-30</v>
      </c>
    </row>
    <row r="245" ht="15.75" customHeight="1">
      <c r="A245" s="63" t="s">
        <v>973</v>
      </c>
      <c r="D245" s="63">
        <v>12.0</v>
      </c>
      <c r="E245" s="63">
        <v>1.0</v>
      </c>
      <c r="I245" s="63">
        <v>1.0</v>
      </c>
      <c r="J245" s="63">
        <v>4.0</v>
      </c>
      <c r="K245" s="63">
        <v>2.0</v>
      </c>
      <c r="L245" s="63">
        <v>3.0</v>
      </c>
      <c r="P245" s="63">
        <v>2.0</v>
      </c>
      <c r="Q245" s="63">
        <v>3.0</v>
      </c>
      <c r="S245" s="63">
        <v>14.0</v>
      </c>
      <c r="U245" s="63">
        <v>9.5</v>
      </c>
      <c r="W245" s="64"/>
      <c r="X245" s="63">
        <v>10.0</v>
      </c>
      <c r="Y245" s="63">
        <v>1.0</v>
      </c>
      <c r="AC245" s="63">
        <v>0.0</v>
      </c>
      <c r="AD245" s="63">
        <v>6.0</v>
      </c>
      <c r="AF245" s="63">
        <v>4.0</v>
      </c>
      <c r="AI245" s="63">
        <v>1.0</v>
      </c>
      <c r="AM245" s="63">
        <v>11.0</v>
      </c>
      <c r="AN245" s="63">
        <v>11.0</v>
      </c>
      <c r="AO245" s="63">
        <f t="shared" si="1"/>
        <v>25</v>
      </c>
      <c r="AP245" s="63">
        <f t="shared" si="2"/>
        <v>25</v>
      </c>
      <c r="AQ245" s="63">
        <f t="shared" si="3"/>
        <v>36</v>
      </c>
      <c r="AR245" s="63">
        <f t="shared" si="4"/>
        <v>0</v>
      </c>
      <c r="AS245" s="63">
        <f t="shared" si="5"/>
        <v>-36</v>
      </c>
    </row>
    <row r="246" ht="15.75" customHeight="1">
      <c r="A246" s="63" t="s">
        <v>912</v>
      </c>
      <c r="B246" s="63">
        <v>12.0</v>
      </c>
      <c r="C246" s="63">
        <v>2.0</v>
      </c>
      <c r="G246" s="63">
        <v>2.0</v>
      </c>
      <c r="I246" s="63">
        <v>6.0</v>
      </c>
      <c r="J246" s="63">
        <v>45.0</v>
      </c>
      <c r="K246" s="63">
        <v>2.0</v>
      </c>
      <c r="Q246" s="63">
        <v>1.0</v>
      </c>
      <c r="S246" s="63">
        <v>19.0</v>
      </c>
      <c r="T246" s="63">
        <v>1.0</v>
      </c>
      <c r="U246" s="63">
        <v>134.0</v>
      </c>
      <c r="W246" s="64"/>
      <c r="AO246" s="63">
        <f t="shared" si="1"/>
        <v>22</v>
      </c>
      <c r="AP246" s="63">
        <f t="shared" si="2"/>
        <v>48</v>
      </c>
      <c r="AQ246" s="63">
        <f t="shared" si="3"/>
        <v>20</v>
      </c>
      <c r="AR246" s="63">
        <f t="shared" si="4"/>
        <v>-26</v>
      </c>
      <c r="AS246" s="63">
        <f t="shared" si="5"/>
        <v>-46</v>
      </c>
    </row>
    <row r="247" ht="15.75" customHeight="1">
      <c r="A247" s="63" t="s">
        <v>293</v>
      </c>
      <c r="B247" s="63">
        <v>64.0</v>
      </c>
      <c r="D247" s="63">
        <v>36.0</v>
      </c>
      <c r="E247" s="63">
        <v>66.0</v>
      </c>
      <c r="G247" s="63">
        <v>3.0</v>
      </c>
      <c r="I247" s="63">
        <v>10.0</v>
      </c>
      <c r="J247" s="63">
        <v>136.0</v>
      </c>
      <c r="K247" s="63">
        <v>6.0</v>
      </c>
      <c r="L247" s="63">
        <v>31.0</v>
      </c>
      <c r="Q247" s="63">
        <v>7.0</v>
      </c>
      <c r="S247" s="63">
        <v>19.0</v>
      </c>
      <c r="U247" s="63">
        <v>60.2</v>
      </c>
      <c r="V247" s="63">
        <v>19.0</v>
      </c>
      <c r="W247" s="64">
        <v>12.0</v>
      </c>
      <c r="X247" s="63">
        <v>39.0</v>
      </c>
      <c r="Y247" s="63">
        <v>41.0</v>
      </c>
      <c r="AC247" s="63">
        <v>1.0</v>
      </c>
      <c r="AD247" s="63">
        <v>85.0</v>
      </c>
      <c r="AE247" s="63">
        <v>2.0</v>
      </c>
      <c r="AF247" s="63">
        <v>19.0</v>
      </c>
      <c r="AI247" s="63">
        <v>11.0</v>
      </c>
      <c r="AK247" s="63">
        <v>3.0</v>
      </c>
      <c r="AM247" s="63">
        <v>13.0</v>
      </c>
      <c r="AN247" s="63">
        <v>9.0</v>
      </c>
      <c r="AO247" s="63">
        <f t="shared" si="1"/>
        <v>291</v>
      </c>
      <c r="AP247" s="63">
        <f t="shared" si="2"/>
        <v>300</v>
      </c>
      <c r="AQ247" s="63">
        <f t="shared" si="3"/>
        <v>41</v>
      </c>
      <c r="AR247" s="63">
        <f t="shared" si="4"/>
        <v>-9</v>
      </c>
      <c r="AS247" s="63">
        <f t="shared" si="5"/>
        <v>-50</v>
      </c>
    </row>
    <row r="248" ht="15.75" customHeight="1">
      <c r="A248" s="63" t="s">
        <v>509</v>
      </c>
      <c r="B248" s="63">
        <v>23.0</v>
      </c>
      <c r="D248" s="63">
        <v>673.0</v>
      </c>
      <c r="E248" s="63">
        <v>108.0</v>
      </c>
      <c r="F248" s="63">
        <v>33.0</v>
      </c>
      <c r="G248" s="63">
        <v>8.0</v>
      </c>
      <c r="I248" s="63">
        <v>102.0</v>
      </c>
      <c r="J248" s="63">
        <v>416.0</v>
      </c>
      <c r="K248" s="63">
        <v>87.0</v>
      </c>
      <c r="L248" s="63">
        <v>120.0</v>
      </c>
      <c r="N248" s="63">
        <v>97.0</v>
      </c>
      <c r="O248" s="63">
        <v>4.0</v>
      </c>
      <c r="P248" s="63">
        <v>1.0</v>
      </c>
      <c r="Q248" s="63">
        <v>165.0</v>
      </c>
      <c r="R248" s="63">
        <v>33.0</v>
      </c>
      <c r="S248" s="63">
        <v>74.0</v>
      </c>
      <c r="T248" s="63">
        <v>3.0</v>
      </c>
      <c r="U248" s="63">
        <v>17.8</v>
      </c>
      <c r="V248" s="63">
        <v>2.0</v>
      </c>
      <c r="W248" s="64"/>
      <c r="X248" s="63">
        <v>578.0</v>
      </c>
      <c r="Y248" s="63">
        <v>50.0</v>
      </c>
      <c r="AC248" s="63">
        <v>14.0</v>
      </c>
      <c r="AD248" s="63">
        <v>228.0</v>
      </c>
      <c r="AE248" s="63">
        <v>3.0</v>
      </c>
      <c r="AF248" s="63">
        <v>371.0</v>
      </c>
      <c r="AH248" s="63">
        <v>7.0</v>
      </c>
      <c r="AI248" s="63">
        <v>7.0</v>
      </c>
      <c r="AK248" s="63">
        <v>27.0</v>
      </c>
      <c r="AM248" s="63">
        <v>1.0</v>
      </c>
      <c r="AO248" s="63">
        <f t="shared" si="1"/>
        <v>1591</v>
      </c>
      <c r="AP248" s="63">
        <f t="shared" si="2"/>
        <v>1566</v>
      </c>
      <c r="AQ248" s="63">
        <f t="shared" si="3"/>
        <v>78</v>
      </c>
      <c r="AR248" s="63">
        <f t="shared" si="4"/>
        <v>25</v>
      </c>
      <c r="AS248" s="63">
        <f t="shared" si="5"/>
        <v>-53</v>
      </c>
    </row>
    <row r="249" ht="15.75" customHeight="1">
      <c r="A249" s="64" t="s">
        <v>959</v>
      </c>
      <c r="B249" s="64">
        <v>58.0</v>
      </c>
      <c r="C249" s="64"/>
      <c r="D249" s="64">
        <v>352.0</v>
      </c>
      <c r="E249" s="64">
        <v>666.0</v>
      </c>
      <c r="F249" s="64">
        <v>87.0</v>
      </c>
      <c r="G249" s="64">
        <v>6.0</v>
      </c>
      <c r="H249" s="64"/>
      <c r="I249" s="64">
        <v>1.0</v>
      </c>
      <c r="J249" s="64">
        <v>759.0</v>
      </c>
      <c r="K249" s="64">
        <v>107.0</v>
      </c>
      <c r="L249" s="64">
        <v>4.0</v>
      </c>
      <c r="M249" s="64"/>
      <c r="N249" s="64">
        <v>4.0</v>
      </c>
      <c r="O249" s="64">
        <v>2.0</v>
      </c>
      <c r="P249" s="64"/>
      <c r="Q249" s="64">
        <v>168.0</v>
      </c>
      <c r="R249" s="64">
        <v>87.0</v>
      </c>
      <c r="S249" s="64">
        <v>27.0</v>
      </c>
      <c r="T249" s="64"/>
      <c r="U249" s="64">
        <v>15.43</v>
      </c>
      <c r="V249" s="64">
        <v>2.0</v>
      </c>
      <c r="W249" s="64"/>
      <c r="X249" s="64">
        <v>99.0</v>
      </c>
      <c r="Y249" s="64">
        <v>254.0</v>
      </c>
      <c r="Z249" s="64"/>
      <c r="AA249" s="64">
        <v>2.0</v>
      </c>
      <c r="AB249" s="64"/>
      <c r="AC249" s="64"/>
      <c r="AD249" s="64">
        <v>428.0</v>
      </c>
      <c r="AE249" s="64">
        <v>4.0</v>
      </c>
      <c r="AF249" s="64"/>
      <c r="AG249" s="64"/>
      <c r="AH249" s="64"/>
      <c r="AI249" s="64">
        <v>9.0</v>
      </c>
      <c r="AJ249" s="64"/>
      <c r="AK249" s="64">
        <v>20.0</v>
      </c>
      <c r="AL249" s="64"/>
      <c r="AM249" s="64">
        <v>1.0</v>
      </c>
      <c r="AN249" s="64">
        <v>4.0</v>
      </c>
      <c r="AO249" s="63">
        <f t="shared" si="1"/>
        <v>1527</v>
      </c>
      <c r="AP249" s="63">
        <f t="shared" si="2"/>
        <v>1592</v>
      </c>
      <c r="AQ249" s="63">
        <f t="shared" si="3"/>
        <v>32</v>
      </c>
      <c r="AR249" s="63">
        <f t="shared" si="4"/>
        <v>-65</v>
      </c>
      <c r="AS249" s="63">
        <f t="shared" si="5"/>
        <v>-97</v>
      </c>
    </row>
    <row r="250" ht="15.75" customHeight="1">
      <c r="A250" s="63" t="s">
        <v>751</v>
      </c>
      <c r="B250" s="63">
        <v>226.0</v>
      </c>
      <c r="C250" s="63">
        <v>42.0</v>
      </c>
      <c r="D250" s="63">
        <v>121.0</v>
      </c>
      <c r="E250" s="63">
        <v>42.0</v>
      </c>
      <c r="I250" s="63">
        <v>56.0</v>
      </c>
      <c r="J250" s="63">
        <v>336.0</v>
      </c>
      <c r="K250" s="63">
        <v>8.0</v>
      </c>
      <c r="O250" s="63">
        <v>41.0</v>
      </c>
      <c r="S250" s="63">
        <v>176.0</v>
      </c>
      <c r="T250" s="63">
        <v>46.0</v>
      </c>
      <c r="U250" s="63">
        <v>97.2</v>
      </c>
      <c r="V250" s="63">
        <v>5.0</v>
      </c>
      <c r="W250" s="64">
        <v>3.0</v>
      </c>
      <c r="X250" s="63">
        <v>184.0</v>
      </c>
      <c r="Y250" s="63">
        <v>3.0</v>
      </c>
      <c r="AC250" s="63">
        <v>1.0</v>
      </c>
      <c r="AD250" s="63">
        <v>116.0</v>
      </c>
      <c r="AI250" s="63">
        <v>23.0</v>
      </c>
      <c r="AM250" s="63">
        <v>28.0</v>
      </c>
      <c r="AN250" s="63">
        <v>10.0</v>
      </c>
      <c r="AO250" s="63">
        <f t="shared" si="1"/>
        <v>683</v>
      </c>
      <c r="AP250" s="63">
        <f t="shared" si="2"/>
        <v>524</v>
      </c>
      <c r="AQ250" s="63">
        <f t="shared" si="3"/>
        <v>260</v>
      </c>
      <c r="AR250" s="63">
        <f t="shared" si="4"/>
        <v>159</v>
      </c>
      <c r="AS250" s="63">
        <f t="shared" si="5"/>
        <v>-101</v>
      </c>
    </row>
    <row r="251" ht="15.75" customHeight="1">
      <c r="A251" s="63" t="s">
        <v>1043</v>
      </c>
      <c r="B251" s="63">
        <v>51.0</v>
      </c>
      <c r="C251" s="63">
        <v>16.0</v>
      </c>
      <c r="D251" s="63">
        <v>55.0</v>
      </c>
      <c r="E251" s="63">
        <v>31.0</v>
      </c>
      <c r="G251" s="63">
        <v>16.0</v>
      </c>
      <c r="H251" s="63">
        <v>20.0</v>
      </c>
      <c r="I251" s="63">
        <v>2.0</v>
      </c>
      <c r="J251" s="63">
        <v>137.0</v>
      </c>
      <c r="K251" s="63">
        <v>2.0</v>
      </c>
      <c r="O251" s="63">
        <v>3.0</v>
      </c>
      <c r="Q251" s="63">
        <v>4.0</v>
      </c>
      <c r="S251" s="63">
        <v>25.0</v>
      </c>
      <c r="T251" s="63">
        <v>4.0</v>
      </c>
      <c r="V251" s="63">
        <v>16.0</v>
      </c>
      <c r="W251" s="64">
        <v>16.0</v>
      </c>
      <c r="X251" s="63">
        <v>203.0</v>
      </c>
      <c r="Y251" s="63">
        <v>27.0</v>
      </c>
      <c r="AA251" s="63">
        <v>27.0</v>
      </c>
      <c r="AB251" s="63">
        <v>19.0</v>
      </c>
      <c r="AD251" s="63">
        <v>277.0</v>
      </c>
      <c r="AH251" s="63">
        <v>36.0</v>
      </c>
      <c r="AI251" s="63">
        <v>29.0</v>
      </c>
      <c r="AK251" s="63">
        <v>3.0</v>
      </c>
      <c r="AM251" s="63">
        <v>54.0</v>
      </c>
      <c r="AN251" s="63">
        <v>54.0</v>
      </c>
      <c r="AO251" s="63">
        <f t="shared" si="1"/>
        <v>499</v>
      </c>
      <c r="AP251" s="63">
        <f t="shared" si="2"/>
        <v>491</v>
      </c>
      <c r="AQ251" s="63">
        <f t="shared" si="3"/>
        <v>137</v>
      </c>
      <c r="AR251" s="63">
        <f t="shared" si="4"/>
        <v>8</v>
      </c>
      <c r="AS251" s="63">
        <f t="shared" si="5"/>
        <v>-129</v>
      </c>
    </row>
    <row r="252" ht="15.75" customHeight="1">
      <c r="A252" s="63" t="s">
        <v>842</v>
      </c>
      <c r="B252" s="63">
        <v>32.0</v>
      </c>
      <c r="D252" s="63">
        <v>9.0</v>
      </c>
      <c r="E252" s="63">
        <v>33.0</v>
      </c>
      <c r="G252" s="63">
        <v>223.0</v>
      </c>
      <c r="H252" s="63">
        <v>34.0</v>
      </c>
      <c r="I252" s="63">
        <v>191.0</v>
      </c>
      <c r="J252" s="63">
        <v>486.0</v>
      </c>
      <c r="K252" s="63">
        <v>3.0</v>
      </c>
      <c r="L252" s="63">
        <v>1.0</v>
      </c>
      <c r="N252" s="63">
        <v>182.0</v>
      </c>
      <c r="P252" s="63">
        <v>2.0</v>
      </c>
      <c r="Q252" s="63">
        <v>5.0</v>
      </c>
      <c r="S252" s="63">
        <v>25.0</v>
      </c>
      <c r="U252" s="63">
        <v>22.0</v>
      </c>
      <c r="V252" s="63">
        <v>27.0</v>
      </c>
      <c r="W252" s="64">
        <v>7.0</v>
      </c>
      <c r="X252" s="63">
        <v>15.0</v>
      </c>
      <c r="Y252" s="63">
        <v>78.0</v>
      </c>
      <c r="AA252" s="63">
        <v>268.0</v>
      </c>
      <c r="AB252" s="63">
        <v>67.0</v>
      </c>
      <c r="AC252" s="63">
        <v>106.0</v>
      </c>
      <c r="AD252" s="63">
        <v>421.0</v>
      </c>
      <c r="AH252" s="63">
        <v>86.0</v>
      </c>
      <c r="AI252" s="63">
        <v>12.0</v>
      </c>
      <c r="AK252" s="63">
        <v>5.0</v>
      </c>
      <c r="AM252" s="63">
        <v>44.0</v>
      </c>
      <c r="AO252" s="63">
        <f t="shared" si="1"/>
        <v>1090</v>
      </c>
      <c r="AP252" s="63">
        <f t="shared" si="2"/>
        <v>1203</v>
      </c>
      <c r="AQ252" s="63">
        <f t="shared" si="3"/>
        <v>69</v>
      </c>
      <c r="AR252" s="63">
        <f t="shared" si="4"/>
        <v>-113</v>
      </c>
      <c r="AS252" s="63">
        <f t="shared" si="5"/>
        <v>-182</v>
      </c>
    </row>
    <row r="253" ht="15.75" customHeight="1">
      <c r="A253" s="63" t="s">
        <v>845</v>
      </c>
      <c r="J253" s="63">
        <v>175.0</v>
      </c>
      <c r="S253" s="63">
        <v>8.0</v>
      </c>
      <c r="U253" s="63">
        <v>22.6</v>
      </c>
      <c r="W253" s="64"/>
      <c r="AO253" s="63">
        <f t="shared" si="1"/>
        <v>0</v>
      </c>
      <c r="AP253" s="63">
        <f t="shared" si="2"/>
        <v>175</v>
      </c>
      <c r="AQ253" s="63">
        <f t="shared" si="3"/>
        <v>8</v>
      </c>
      <c r="AR253" s="63">
        <f t="shared" si="4"/>
        <v>-175</v>
      </c>
      <c r="AS253" s="63">
        <f t="shared" si="5"/>
        <v>-183</v>
      </c>
    </row>
    <row r="254" ht="15.75" customHeight="1">
      <c r="A254" s="63" t="s">
        <v>875</v>
      </c>
      <c r="B254" s="63">
        <v>80.0</v>
      </c>
      <c r="C254" s="63">
        <v>12.0</v>
      </c>
      <c r="D254" s="63">
        <v>92.0</v>
      </c>
      <c r="E254" s="63">
        <v>120.0</v>
      </c>
      <c r="G254" s="63">
        <v>38.0</v>
      </c>
      <c r="H254" s="63">
        <v>134.0</v>
      </c>
      <c r="J254" s="63">
        <v>522.0</v>
      </c>
      <c r="K254" s="63">
        <v>1.0</v>
      </c>
      <c r="M254" s="63">
        <v>1.0</v>
      </c>
      <c r="O254" s="63">
        <v>7.0</v>
      </c>
      <c r="Q254" s="63">
        <v>12.0</v>
      </c>
      <c r="S254" s="63">
        <v>70.0</v>
      </c>
      <c r="T254" s="63">
        <v>25.0</v>
      </c>
      <c r="U254" s="63">
        <v>146.0</v>
      </c>
      <c r="W254" s="64">
        <v>27.0</v>
      </c>
      <c r="X254" s="63">
        <v>255.0</v>
      </c>
      <c r="Y254" s="63">
        <v>50.0</v>
      </c>
      <c r="AA254" s="63">
        <v>44.0</v>
      </c>
      <c r="AB254" s="63">
        <v>135.0</v>
      </c>
      <c r="AC254" s="63">
        <v>43.0</v>
      </c>
      <c r="AD254" s="63">
        <v>558.0</v>
      </c>
      <c r="AI254" s="63">
        <v>47.0</v>
      </c>
      <c r="AK254" s="63">
        <v>14.0</v>
      </c>
      <c r="AN254" s="63">
        <v>31.0</v>
      </c>
      <c r="AO254" s="63">
        <f t="shared" si="1"/>
        <v>1030</v>
      </c>
      <c r="AP254" s="63">
        <f t="shared" si="2"/>
        <v>1162</v>
      </c>
      <c r="AQ254" s="63">
        <f t="shared" si="3"/>
        <v>126</v>
      </c>
      <c r="AR254" s="63">
        <f t="shared" si="4"/>
        <v>-132</v>
      </c>
      <c r="AS254" s="63">
        <f t="shared" si="5"/>
        <v>-258</v>
      </c>
    </row>
    <row r="255" ht="15.75" customHeight="1">
      <c r="A255" s="63" t="s">
        <v>341</v>
      </c>
      <c r="B255" s="63">
        <v>48.0</v>
      </c>
      <c r="C255" s="63">
        <v>11.0</v>
      </c>
      <c r="D255" s="63">
        <v>80.0</v>
      </c>
      <c r="E255" s="63">
        <v>68.0</v>
      </c>
      <c r="G255" s="63">
        <v>3.0</v>
      </c>
      <c r="J255" s="63">
        <v>219.0</v>
      </c>
      <c r="K255" s="63">
        <v>18.0</v>
      </c>
      <c r="L255" s="63">
        <v>3.0</v>
      </c>
      <c r="N255" s="63">
        <v>219.0</v>
      </c>
      <c r="O255" s="63">
        <v>3.0</v>
      </c>
      <c r="Q255" s="63">
        <v>5.0</v>
      </c>
      <c r="S255" s="63">
        <v>72.0</v>
      </c>
      <c r="T255" s="63">
        <v>5.0</v>
      </c>
      <c r="U255" s="63">
        <v>54.0</v>
      </c>
      <c r="V255" s="63">
        <v>2.0</v>
      </c>
      <c r="W255" s="64"/>
      <c r="X255" s="63">
        <v>109.0</v>
      </c>
      <c r="Y255" s="63">
        <v>28.0</v>
      </c>
      <c r="AA255" s="63">
        <v>27.0</v>
      </c>
      <c r="AC255" s="63">
        <v>7.0</v>
      </c>
      <c r="AD255" s="63">
        <v>142.0</v>
      </c>
      <c r="AI255" s="63">
        <v>10.0</v>
      </c>
      <c r="AK255" s="63">
        <v>2.0</v>
      </c>
      <c r="AM255" s="63">
        <v>12.0</v>
      </c>
      <c r="AO255" s="63">
        <f t="shared" si="1"/>
        <v>383</v>
      </c>
      <c r="AP255" s="63">
        <f t="shared" si="2"/>
        <v>621</v>
      </c>
      <c r="AQ255" s="63">
        <f t="shared" si="3"/>
        <v>89</v>
      </c>
      <c r="AR255" s="63">
        <f t="shared" si="4"/>
        <v>-238</v>
      </c>
      <c r="AS255" s="63">
        <f t="shared" si="5"/>
        <v>-327</v>
      </c>
    </row>
    <row r="256" ht="15.75" customHeight="1">
      <c r="A256" s="63" t="s">
        <v>556</v>
      </c>
      <c r="B256" s="63">
        <v>301.0</v>
      </c>
      <c r="D256" s="63">
        <v>47.0</v>
      </c>
      <c r="E256" s="63">
        <v>30.0</v>
      </c>
      <c r="G256" s="63">
        <v>427.0</v>
      </c>
      <c r="H256" s="63">
        <v>325.0</v>
      </c>
      <c r="I256" s="63">
        <v>24.0</v>
      </c>
      <c r="J256" s="63">
        <v>768.0</v>
      </c>
      <c r="N256" s="63">
        <v>853.0</v>
      </c>
      <c r="O256" s="63">
        <v>8.0</v>
      </c>
      <c r="Q256" s="63">
        <v>10.0</v>
      </c>
      <c r="S256" s="63">
        <v>256.0</v>
      </c>
      <c r="T256" s="63">
        <v>3.0</v>
      </c>
      <c r="U256" s="63">
        <v>15.0</v>
      </c>
      <c r="V256" s="63">
        <v>72.0</v>
      </c>
      <c r="W256" s="64"/>
      <c r="X256" s="63">
        <v>72.0</v>
      </c>
      <c r="Y256" s="63">
        <v>111.0</v>
      </c>
      <c r="AA256" s="63">
        <v>421.0</v>
      </c>
      <c r="AB256" s="63">
        <v>229.0</v>
      </c>
      <c r="AC256" s="63">
        <v>20.0</v>
      </c>
      <c r="AD256" s="63">
        <v>853.0</v>
      </c>
      <c r="AH256" s="63">
        <v>20.0</v>
      </c>
      <c r="AI256" s="63">
        <v>9.0</v>
      </c>
      <c r="AK256" s="63">
        <v>12.0</v>
      </c>
      <c r="AM256" s="63">
        <v>44.0</v>
      </c>
      <c r="AN256" s="63">
        <v>5.0</v>
      </c>
      <c r="AO256" s="63">
        <f t="shared" si="1"/>
        <v>2079</v>
      </c>
      <c r="AP256" s="63">
        <f t="shared" si="2"/>
        <v>2533</v>
      </c>
      <c r="AQ256" s="63">
        <f t="shared" si="3"/>
        <v>308</v>
      </c>
      <c r="AR256" s="63">
        <f t="shared" si="4"/>
        <v>-454</v>
      </c>
      <c r="AS256" s="63">
        <f t="shared" si="5"/>
        <v>-762</v>
      </c>
    </row>
    <row r="257" ht="15.75" customHeight="1">
      <c r="W257" s="64"/>
    </row>
    <row r="258" ht="15.75" customHeight="1">
      <c r="A258" s="63" t="s">
        <v>1051</v>
      </c>
      <c r="W258" s="64"/>
      <c r="AO258" s="63">
        <f t="shared" ref="AO258:AS258" si="6">SUM(AO2:AO257)</f>
        <v>67298</v>
      </c>
      <c r="AP258" s="63">
        <f t="shared" si="6"/>
        <v>64087</v>
      </c>
      <c r="AQ258" s="63">
        <f t="shared" si="6"/>
        <v>4760</v>
      </c>
      <c r="AR258" s="63">
        <f t="shared" si="6"/>
        <v>3211</v>
      </c>
      <c r="AS258" s="63">
        <f t="shared" si="6"/>
        <v>-1549</v>
      </c>
    </row>
    <row r="259" ht="15.75" customHeight="1">
      <c r="W259" s="64"/>
    </row>
    <row r="260" ht="15.75" customHeight="1">
      <c r="W260" s="64"/>
    </row>
    <row r="261" ht="15.75" customHeight="1">
      <c r="W261" s="64"/>
    </row>
    <row r="262" ht="15.75" customHeight="1">
      <c r="W262" s="64"/>
    </row>
    <row r="263" ht="15.75" customHeight="1">
      <c r="W263" s="64"/>
    </row>
    <row r="264" ht="15.75" customHeight="1">
      <c r="W264" s="64"/>
    </row>
    <row r="265" ht="15.75" customHeight="1">
      <c r="W265" s="64"/>
    </row>
    <row r="266" ht="15.75" customHeight="1">
      <c r="W266" s="64"/>
    </row>
    <row r="267" ht="15.75" customHeight="1">
      <c r="W267" s="64"/>
    </row>
    <row r="268" ht="15.75" customHeight="1">
      <c r="W268" s="64"/>
    </row>
    <row r="269" ht="15.75" customHeight="1">
      <c r="W269" s="64"/>
    </row>
    <row r="270" ht="15.75" customHeight="1">
      <c r="W270" s="64"/>
    </row>
    <row r="271" ht="15.75" customHeight="1">
      <c r="W271" s="64"/>
    </row>
    <row r="272" ht="15.75" customHeight="1">
      <c r="W272" s="64"/>
    </row>
    <row r="273" ht="15.75" customHeight="1">
      <c r="W273" s="64"/>
    </row>
    <row r="274" ht="15.75" customHeight="1">
      <c r="W274" s="64"/>
    </row>
    <row r="275" ht="15.75" customHeight="1">
      <c r="W275" s="64"/>
    </row>
    <row r="276" ht="15.75" customHeight="1">
      <c r="W276" s="64"/>
    </row>
    <row r="277" ht="15.75" customHeight="1">
      <c r="W277" s="64"/>
    </row>
    <row r="278" ht="15.75" customHeight="1">
      <c r="W278" s="64"/>
    </row>
    <row r="279" ht="15.75" customHeight="1">
      <c r="W279" s="64"/>
    </row>
    <row r="280" ht="15.75" customHeight="1">
      <c r="W280" s="64"/>
    </row>
    <row r="281" ht="15.75" customHeight="1">
      <c r="W281" s="64"/>
    </row>
    <row r="282" ht="15.75" customHeight="1">
      <c r="W282" s="64"/>
    </row>
    <row r="283" ht="15.75" customHeight="1">
      <c r="W283" s="64"/>
    </row>
    <row r="284" ht="15.75" customHeight="1">
      <c r="W284" s="64"/>
    </row>
    <row r="285" ht="15.75" customHeight="1">
      <c r="W285" s="64"/>
    </row>
    <row r="286" ht="15.75" customHeight="1">
      <c r="W286" s="64"/>
    </row>
    <row r="287" ht="15.75" customHeight="1">
      <c r="W287" s="64"/>
    </row>
    <row r="288" ht="15.75" customHeight="1">
      <c r="W288" s="64"/>
    </row>
    <row r="289" ht="15.75" customHeight="1">
      <c r="W289" s="64"/>
    </row>
    <row r="290" ht="15.75" customHeight="1">
      <c r="W290" s="64"/>
    </row>
    <row r="291" ht="15.75" customHeight="1">
      <c r="W291" s="64"/>
    </row>
    <row r="292" ht="15.75" customHeight="1">
      <c r="W292" s="64"/>
    </row>
    <row r="293" ht="15.75" customHeight="1">
      <c r="W293" s="64"/>
    </row>
    <row r="294" ht="15.75" customHeight="1">
      <c r="W294" s="64"/>
    </row>
    <row r="295" ht="15.75" customHeight="1">
      <c r="W295" s="64"/>
    </row>
    <row r="296" ht="15.75" customHeight="1">
      <c r="W296" s="64"/>
    </row>
    <row r="297" ht="15.75" customHeight="1">
      <c r="W297" s="64"/>
    </row>
    <row r="298" ht="15.75" customHeight="1">
      <c r="W298" s="64"/>
    </row>
    <row r="299" ht="15.75" customHeight="1">
      <c r="W299" s="64"/>
    </row>
    <row r="300" ht="15.75" customHeight="1">
      <c r="W300" s="64"/>
    </row>
    <row r="301" ht="15.75" customHeight="1">
      <c r="W301" s="64"/>
    </row>
    <row r="302" ht="15.75" customHeight="1">
      <c r="W302" s="64"/>
    </row>
    <row r="303" ht="15.75" customHeight="1">
      <c r="W303" s="64"/>
    </row>
    <row r="304" ht="15.75" customHeight="1">
      <c r="W304" s="64"/>
    </row>
    <row r="305" ht="15.75" customHeight="1">
      <c r="W305" s="64"/>
    </row>
    <row r="306" ht="15.75" customHeight="1">
      <c r="W306" s="64"/>
    </row>
    <row r="307" ht="15.75" customHeight="1">
      <c r="W307" s="64"/>
    </row>
    <row r="308" ht="15.75" customHeight="1">
      <c r="W308" s="64"/>
    </row>
    <row r="309" ht="15.75" customHeight="1">
      <c r="W309" s="64"/>
    </row>
    <row r="310" ht="15.75" customHeight="1">
      <c r="W310" s="64"/>
    </row>
    <row r="311" ht="15.75" customHeight="1">
      <c r="W311" s="64"/>
    </row>
    <row r="312" ht="15.75" customHeight="1">
      <c r="W312" s="64"/>
    </row>
    <row r="313" ht="15.75" customHeight="1">
      <c r="W313" s="64"/>
    </row>
    <row r="314" ht="15.75" customHeight="1">
      <c r="W314" s="64"/>
    </row>
    <row r="315" ht="15.75" customHeight="1">
      <c r="W315" s="64"/>
    </row>
    <row r="316" ht="15.75" customHeight="1">
      <c r="W316" s="64"/>
    </row>
    <row r="317" ht="15.75" customHeight="1">
      <c r="W317" s="64"/>
    </row>
    <row r="318" ht="15.75" customHeight="1">
      <c r="W318" s="64"/>
    </row>
    <row r="319" ht="15.75" customHeight="1">
      <c r="W319" s="64"/>
    </row>
    <row r="320" ht="15.75" customHeight="1">
      <c r="W320" s="64"/>
    </row>
    <row r="321" ht="15.75" customHeight="1">
      <c r="W321" s="64"/>
    </row>
    <row r="322" ht="15.75" customHeight="1">
      <c r="W322" s="64"/>
    </row>
    <row r="323" ht="15.75" customHeight="1">
      <c r="W323" s="64"/>
    </row>
    <row r="324" ht="15.75" customHeight="1">
      <c r="W324" s="64"/>
    </row>
    <row r="325" ht="15.75" customHeight="1">
      <c r="W325" s="64"/>
    </row>
    <row r="326" ht="15.75" customHeight="1">
      <c r="W326" s="64"/>
    </row>
    <row r="327" ht="15.75" customHeight="1">
      <c r="W327" s="64"/>
    </row>
    <row r="328" ht="15.75" customHeight="1">
      <c r="W328" s="64"/>
    </row>
    <row r="329" ht="15.75" customHeight="1">
      <c r="W329" s="64"/>
    </row>
    <row r="330" ht="15.75" customHeight="1">
      <c r="W330" s="64"/>
    </row>
    <row r="331" ht="15.75" customHeight="1">
      <c r="W331" s="64"/>
    </row>
    <row r="332" ht="15.75" customHeight="1">
      <c r="W332" s="64"/>
    </row>
    <row r="333" ht="15.75" customHeight="1">
      <c r="W333" s="64"/>
    </row>
    <row r="334" ht="15.75" customHeight="1">
      <c r="W334" s="64"/>
    </row>
    <row r="335" ht="15.75" customHeight="1">
      <c r="W335" s="64"/>
    </row>
    <row r="336" ht="15.75" customHeight="1">
      <c r="W336" s="64"/>
    </row>
    <row r="337" ht="15.75" customHeight="1">
      <c r="W337" s="64"/>
    </row>
    <row r="338" ht="15.75" customHeight="1">
      <c r="W338" s="64"/>
    </row>
    <row r="339" ht="15.75" customHeight="1">
      <c r="W339" s="64"/>
    </row>
    <row r="340" ht="15.75" customHeight="1">
      <c r="W340" s="64"/>
    </row>
    <row r="341" ht="15.75" customHeight="1">
      <c r="W341" s="64"/>
    </row>
    <row r="342" ht="15.75" customHeight="1">
      <c r="W342" s="64"/>
    </row>
    <row r="343" ht="15.75" customHeight="1">
      <c r="W343" s="64"/>
    </row>
    <row r="344" ht="15.75" customHeight="1">
      <c r="W344" s="64"/>
    </row>
    <row r="345" ht="15.75" customHeight="1">
      <c r="W345" s="64"/>
    </row>
    <row r="346" ht="15.75" customHeight="1">
      <c r="W346" s="64"/>
    </row>
    <row r="347" ht="15.75" customHeight="1">
      <c r="W347" s="64"/>
    </row>
    <row r="348" ht="15.75" customHeight="1">
      <c r="W348" s="64"/>
    </row>
    <row r="349" ht="15.75" customHeight="1">
      <c r="W349" s="64"/>
    </row>
    <row r="350" ht="15.75" customHeight="1">
      <c r="W350" s="64"/>
    </row>
    <row r="351" ht="15.75" customHeight="1">
      <c r="W351" s="64"/>
    </row>
    <row r="352" ht="15.75" customHeight="1">
      <c r="W352" s="64"/>
    </row>
    <row r="353" ht="15.75" customHeight="1">
      <c r="W353" s="64"/>
    </row>
    <row r="354" ht="15.75" customHeight="1">
      <c r="W354" s="64"/>
    </row>
    <row r="355" ht="15.75" customHeight="1">
      <c r="W355" s="64"/>
    </row>
    <row r="356" ht="15.75" customHeight="1">
      <c r="W356" s="64"/>
    </row>
    <row r="357" ht="15.75" customHeight="1">
      <c r="W357" s="64"/>
    </row>
    <row r="358" ht="15.75" customHeight="1">
      <c r="W358" s="64"/>
    </row>
    <row r="359" ht="15.75" customHeight="1">
      <c r="W359" s="64"/>
    </row>
    <row r="360" ht="15.75" customHeight="1">
      <c r="W360" s="64"/>
    </row>
    <row r="361" ht="15.75" customHeight="1">
      <c r="W361" s="64"/>
    </row>
    <row r="362" ht="15.75" customHeight="1">
      <c r="W362" s="64"/>
    </row>
    <row r="363" ht="15.75" customHeight="1">
      <c r="W363" s="64"/>
    </row>
    <row r="364" ht="15.75" customHeight="1">
      <c r="W364" s="64"/>
    </row>
    <row r="365" ht="15.75" customHeight="1">
      <c r="W365" s="64"/>
    </row>
    <row r="366" ht="15.75" customHeight="1">
      <c r="W366" s="64"/>
    </row>
    <row r="367" ht="15.75" customHeight="1">
      <c r="W367" s="64"/>
    </row>
    <row r="368" ht="15.75" customHeight="1">
      <c r="W368" s="64"/>
    </row>
    <row r="369" ht="15.75" customHeight="1">
      <c r="W369" s="64"/>
    </row>
    <row r="370" ht="15.75" customHeight="1">
      <c r="W370" s="64"/>
    </row>
    <row r="371" ht="15.75" customHeight="1">
      <c r="W371" s="64"/>
    </row>
    <row r="372" ht="15.75" customHeight="1">
      <c r="W372" s="64"/>
    </row>
    <row r="373" ht="15.75" customHeight="1">
      <c r="W373" s="64"/>
    </row>
    <row r="374" ht="15.75" customHeight="1">
      <c r="W374" s="64"/>
    </row>
    <row r="375" ht="15.75" customHeight="1">
      <c r="W375" s="64"/>
    </row>
    <row r="376" ht="15.75" customHeight="1">
      <c r="W376" s="64"/>
    </row>
    <row r="377" ht="15.75" customHeight="1">
      <c r="W377" s="64"/>
    </row>
    <row r="378" ht="15.75" customHeight="1">
      <c r="W378" s="64"/>
    </row>
    <row r="379" ht="15.75" customHeight="1">
      <c r="W379" s="64"/>
    </row>
    <row r="380" ht="15.75" customHeight="1">
      <c r="W380" s="64"/>
    </row>
    <row r="381" ht="15.75" customHeight="1">
      <c r="W381" s="64"/>
    </row>
    <row r="382" ht="15.75" customHeight="1">
      <c r="W382" s="64"/>
    </row>
    <row r="383" ht="15.75" customHeight="1">
      <c r="W383" s="64"/>
    </row>
    <row r="384" ht="15.75" customHeight="1">
      <c r="W384" s="64"/>
    </row>
    <row r="385" ht="15.75" customHeight="1">
      <c r="W385" s="64"/>
    </row>
    <row r="386" ht="15.75" customHeight="1">
      <c r="W386" s="64"/>
    </row>
    <row r="387" ht="15.75" customHeight="1">
      <c r="W387" s="64"/>
    </row>
    <row r="388" ht="15.75" customHeight="1">
      <c r="W388" s="64"/>
    </row>
    <row r="389" ht="15.75" customHeight="1">
      <c r="W389" s="64"/>
    </row>
    <row r="390" ht="15.75" customHeight="1">
      <c r="W390" s="64"/>
    </row>
    <row r="391" ht="15.75" customHeight="1">
      <c r="W391" s="64"/>
    </row>
    <row r="392" ht="15.75" customHeight="1">
      <c r="W392" s="64"/>
    </row>
    <row r="393" ht="15.75" customHeight="1">
      <c r="W393" s="64"/>
    </row>
    <row r="394" ht="15.75" customHeight="1">
      <c r="W394" s="64"/>
    </row>
    <row r="395" ht="15.75" customHeight="1">
      <c r="W395" s="64"/>
    </row>
    <row r="396" ht="15.75" customHeight="1">
      <c r="W396" s="64"/>
    </row>
    <row r="397" ht="15.75" customHeight="1">
      <c r="W397" s="64"/>
    </row>
    <row r="398" ht="15.75" customHeight="1">
      <c r="W398" s="64"/>
    </row>
    <row r="399" ht="15.75" customHeight="1">
      <c r="W399" s="64"/>
    </row>
    <row r="400" ht="15.75" customHeight="1">
      <c r="W400" s="64"/>
    </row>
    <row r="401" ht="15.75" customHeight="1">
      <c r="W401" s="64"/>
    </row>
    <row r="402" ht="15.75" customHeight="1">
      <c r="W402" s="64"/>
    </row>
    <row r="403" ht="15.75" customHeight="1">
      <c r="W403" s="64"/>
    </row>
    <row r="404" ht="15.75" customHeight="1">
      <c r="W404" s="64"/>
    </row>
    <row r="405" ht="15.75" customHeight="1">
      <c r="W405" s="64"/>
    </row>
    <row r="406" ht="15.75" customHeight="1">
      <c r="W406" s="64"/>
    </row>
    <row r="407" ht="15.75" customHeight="1">
      <c r="W407" s="64"/>
    </row>
    <row r="408" ht="15.75" customHeight="1">
      <c r="W408" s="64"/>
    </row>
    <row r="409" ht="15.75" customHeight="1">
      <c r="W409" s="64"/>
    </row>
    <row r="410" ht="15.75" customHeight="1">
      <c r="W410" s="64"/>
    </row>
    <row r="411" ht="15.75" customHeight="1">
      <c r="W411" s="64"/>
    </row>
    <row r="412" ht="15.75" customHeight="1">
      <c r="W412" s="64"/>
    </row>
    <row r="413" ht="15.75" customHeight="1">
      <c r="W413" s="64"/>
    </row>
    <row r="414" ht="15.75" customHeight="1">
      <c r="W414" s="64"/>
    </row>
    <row r="415" ht="15.75" customHeight="1">
      <c r="W415" s="64"/>
    </row>
    <row r="416" ht="15.75" customHeight="1">
      <c r="W416" s="64"/>
    </row>
    <row r="417" ht="15.75" customHeight="1">
      <c r="W417" s="64"/>
    </row>
    <row r="418" ht="15.75" customHeight="1">
      <c r="W418" s="64"/>
    </row>
    <row r="419" ht="15.75" customHeight="1">
      <c r="W419" s="64"/>
    </row>
    <row r="420" ht="15.75" customHeight="1">
      <c r="W420" s="64"/>
    </row>
    <row r="421" ht="15.75" customHeight="1">
      <c r="W421" s="64"/>
    </row>
    <row r="422" ht="15.75" customHeight="1">
      <c r="W422" s="64"/>
    </row>
    <row r="423" ht="15.75" customHeight="1">
      <c r="W423" s="64"/>
    </row>
    <row r="424" ht="15.75" customHeight="1">
      <c r="W424" s="64"/>
    </row>
    <row r="425" ht="15.75" customHeight="1">
      <c r="W425" s="64"/>
    </row>
    <row r="426" ht="15.75" customHeight="1">
      <c r="W426" s="64"/>
    </row>
    <row r="427" ht="15.75" customHeight="1">
      <c r="W427" s="64"/>
    </row>
    <row r="428" ht="15.75" customHeight="1">
      <c r="W428" s="64"/>
    </row>
    <row r="429" ht="15.75" customHeight="1">
      <c r="W429" s="64"/>
    </row>
    <row r="430" ht="15.75" customHeight="1">
      <c r="W430" s="64"/>
    </row>
    <row r="431" ht="15.75" customHeight="1">
      <c r="W431" s="64"/>
    </row>
    <row r="432" ht="15.75" customHeight="1">
      <c r="W432" s="64"/>
    </row>
    <row r="433" ht="15.75" customHeight="1">
      <c r="W433" s="64"/>
    </row>
    <row r="434" ht="15.75" customHeight="1">
      <c r="W434" s="64"/>
    </row>
    <row r="435" ht="15.75" customHeight="1">
      <c r="W435" s="64"/>
    </row>
    <row r="436" ht="15.75" customHeight="1">
      <c r="W436" s="64"/>
    </row>
    <row r="437" ht="15.75" customHeight="1">
      <c r="W437" s="64"/>
    </row>
    <row r="438" ht="15.75" customHeight="1">
      <c r="W438" s="64"/>
    </row>
    <row r="439" ht="15.75" customHeight="1">
      <c r="W439" s="64"/>
    </row>
    <row r="440" ht="15.75" customHeight="1">
      <c r="W440" s="64"/>
    </row>
    <row r="441" ht="15.75" customHeight="1">
      <c r="W441" s="64"/>
    </row>
    <row r="442" ht="15.75" customHeight="1">
      <c r="W442" s="64"/>
    </row>
    <row r="443" ht="15.75" customHeight="1">
      <c r="W443" s="64"/>
    </row>
    <row r="444" ht="15.75" customHeight="1">
      <c r="W444" s="64"/>
    </row>
    <row r="445" ht="15.75" customHeight="1">
      <c r="W445" s="64"/>
    </row>
    <row r="446" ht="15.75" customHeight="1">
      <c r="W446" s="64"/>
    </row>
    <row r="447" ht="15.75" customHeight="1">
      <c r="W447" s="64"/>
    </row>
    <row r="448" ht="15.75" customHeight="1">
      <c r="W448" s="64"/>
    </row>
    <row r="449" ht="15.75" customHeight="1">
      <c r="W449" s="64"/>
    </row>
    <row r="450" ht="15.75" customHeight="1">
      <c r="W450" s="64"/>
    </row>
    <row r="451" ht="15.75" customHeight="1">
      <c r="W451" s="64"/>
    </row>
    <row r="452" ht="15.75" customHeight="1">
      <c r="W452" s="64"/>
    </row>
    <row r="453" ht="15.75" customHeight="1">
      <c r="W453" s="64"/>
    </row>
    <row r="454" ht="15.75" customHeight="1">
      <c r="W454" s="64"/>
    </row>
    <row r="455" ht="15.75" customHeight="1">
      <c r="W455" s="64"/>
    </row>
    <row r="456" ht="15.75" customHeight="1">
      <c r="W456" s="64"/>
    </row>
    <row r="457" ht="15.75" customHeight="1">
      <c r="W457" s="64"/>
    </row>
    <row r="458" ht="15.75" customHeight="1">
      <c r="W458" s="64"/>
    </row>
    <row r="459" ht="15.75" customHeight="1">
      <c r="W459" s="64"/>
    </row>
    <row r="460" ht="15.75" customHeight="1">
      <c r="W460" s="64"/>
    </row>
    <row r="461" ht="15.75" customHeight="1">
      <c r="W461" s="64"/>
    </row>
    <row r="462" ht="15.75" customHeight="1">
      <c r="W462" s="64"/>
    </row>
    <row r="463" ht="15.75" customHeight="1">
      <c r="W463" s="64"/>
    </row>
    <row r="464" ht="15.75" customHeight="1">
      <c r="W464" s="64"/>
    </row>
    <row r="465" ht="15.75" customHeight="1">
      <c r="W465" s="64"/>
    </row>
    <row r="466" ht="15.75" customHeight="1">
      <c r="W466" s="64"/>
    </row>
    <row r="467" ht="15.75" customHeight="1">
      <c r="W467" s="64"/>
    </row>
    <row r="468" ht="15.75" customHeight="1">
      <c r="W468" s="64"/>
    </row>
    <row r="469" ht="15.75" customHeight="1">
      <c r="W469" s="64"/>
    </row>
    <row r="470" ht="15.75" customHeight="1">
      <c r="W470" s="64"/>
    </row>
    <row r="471" ht="15.75" customHeight="1">
      <c r="W471" s="64"/>
    </row>
    <row r="472" ht="15.75" customHeight="1">
      <c r="W472" s="64"/>
    </row>
    <row r="473" ht="15.75" customHeight="1">
      <c r="W473" s="64"/>
    </row>
    <row r="474" ht="15.75" customHeight="1">
      <c r="W474" s="64"/>
    </row>
    <row r="475" ht="15.75" customHeight="1">
      <c r="W475" s="64"/>
    </row>
    <row r="476" ht="15.75" customHeight="1">
      <c r="W476" s="64"/>
    </row>
    <row r="477" ht="15.75" customHeight="1">
      <c r="W477" s="64"/>
    </row>
    <row r="478" ht="15.75" customHeight="1">
      <c r="W478" s="64"/>
    </row>
    <row r="479" ht="15.75" customHeight="1">
      <c r="W479" s="64"/>
    </row>
    <row r="480" ht="15.75" customHeight="1">
      <c r="W480" s="64"/>
    </row>
    <row r="481" ht="15.75" customHeight="1">
      <c r="W481" s="64"/>
    </row>
    <row r="482" ht="15.75" customHeight="1">
      <c r="W482" s="64"/>
    </row>
    <row r="483" ht="15.75" customHeight="1">
      <c r="W483" s="64"/>
    </row>
    <row r="484" ht="15.75" customHeight="1">
      <c r="W484" s="64"/>
    </row>
    <row r="485" ht="15.75" customHeight="1">
      <c r="W485" s="64"/>
    </row>
    <row r="486" ht="15.75" customHeight="1">
      <c r="W486" s="64"/>
    </row>
    <row r="487" ht="15.75" customHeight="1">
      <c r="W487" s="64"/>
    </row>
    <row r="488" ht="15.75" customHeight="1">
      <c r="W488" s="64"/>
    </row>
    <row r="489" ht="15.75" customHeight="1">
      <c r="W489" s="64"/>
    </row>
    <row r="490" ht="15.75" customHeight="1">
      <c r="W490" s="64"/>
    </row>
    <row r="491" ht="15.75" customHeight="1">
      <c r="W491" s="64"/>
    </row>
    <row r="492" ht="15.75" customHeight="1">
      <c r="W492" s="64"/>
    </row>
    <row r="493" ht="15.75" customHeight="1">
      <c r="W493" s="64"/>
    </row>
    <row r="494" ht="15.75" customHeight="1">
      <c r="W494" s="64"/>
    </row>
    <row r="495" ht="15.75" customHeight="1">
      <c r="W495" s="64"/>
    </row>
    <row r="496" ht="15.75" customHeight="1">
      <c r="W496" s="64"/>
    </row>
    <row r="497" ht="15.75" customHeight="1">
      <c r="W497" s="64"/>
    </row>
    <row r="498" ht="15.75" customHeight="1">
      <c r="W498" s="64"/>
    </row>
    <row r="499" ht="15.75" customHeight="1">
      <c r="W499" s="64"/>
    </row>
    <row r="500" ht="15.75" customHeight="1">
      <c r="W500" s="64"/>
    </row>
    <row r="501" ht="15.75" customHeight="1">
      <c r="W501" s="64"/>
    </row>
    <row r="502" ht="15.75" customHeight="1">
      <c r="W502" s="64"/>
    </row>
    <row r="503" ht="15.75" customHeight="1">
      <c r="W503" s="64"/>
    </row>
    <row r="504" ht="15.75" customHeight="1">
      <c r="W504" s="64"/>
    </row>
    <row r="505" ht="15.75" customHeight="1">
      <c r="W505" s="64"/>
    </row>
    <row r="506" ht="15.75" customHeight="1">
      <c r="W506" s="64"/>
    </row>
    <row r="507" ht="15.75" customHeight="1">
      <c r="W507" s="64"/>
    </row>
    <row r="508" ht="15.75" customHeight="1">
      <c r="W508" s="64"/>
    </row>
    <row r="509" ht="15.75" customHeight="1">
      <c r="W509" s="64"/>
    </row>
    <row r="510" ht="15.75" customHeight="1">
      <c r="W510" s="64"/>
    </row>
    <row r="511" ht="15.75" customHeight="1">
      <c r="W511" s="64"/>
    </row>
    <row r="512" ht="15.75" customHeight="1">
      <c r="W512" s="64"/>
    </row>
    <row r="513" ht="15.75" customHeight="1">
      <c r="W513" s="64"/>
    </row>
    <row r="514" ht="15.75" customHeight="1">
      <c r="W514" s="64"/>
    </row>
    <row r="515" ht="15.75" customHeight="1">
      <c r="W515" s="64"/>
    </row>
    <row r="516" ht="15.75" customHeight="1">
      <c r="W516" s="64"/>
    </row>
    <row r="517" ht="15.75" customHeight="1">
      <c r="W517" s="64"/>
    </row>
    <row r="518" ht="15.75" customHeight="1">
      <c r="W518" s="64"/>
    </row>
    <row r="519" ht="15.75" customHeight="1">
      <c r="W519" s="64"/>
    </row>
    <row r="520" ht="15.75" customHeight="1">
      <c r="W520" s="64"/>
    </row>
    <row r="521" ht="15.75" customHeight="1">
      <c r="W521" s="64"/>
    </row>
    <row r="522" ht="15.75" customHeight="1">
      <c r="W522" s="64"/>
    </row>
    <row r="523" ht="15.75" customHeight="1">
      <c r="W523" s="64"/>
    </row>
    <row r="524" ht="15.75" customHeight="1">
      <c r="W524" s="64"/>
    </row>
    <row r="525" ht="15.75" customHeight="1">
      <c r="W525" s="64"/>
    </row>
    <row r="526" ht="15.75" customHeight="1">
      <c r="W526" s="64"/>
    </row>
    <row r="527" ht="15.75" customHeight="1">
      <c r="W527" s="64"/>
    </row>
    <row r="528" ht="15.75" customHeight="1">
      <c r="W528" s="64"/>
    </row>
    <row r="529" ht="15.75" customHeight="1">
      <c r="W529" s="64"/>
    </row>
    <row r="530" ht="15.75" customHeight="1">
      <c r="W530" s="64"/>
    </row>
    <row r="531" ht="15.75" customHeight="1">
      <c r="W531" s="64"/>
    </row>
    <row r="532" ht="15.75" customHeight="1">
      <c r="W532" s="64"/>
    </row>
    <row r="533" ht="15.75" customHeight="1">
      <c r="W533" s="64"/>
    </row>
    <row r="534" ht="15.75" customHeight="1">
      <c r="W534" s="64"/>
    </row>
    <row r="535" ht="15.75" customHeight="1">
      <c r="W535" s="64"/>
    </row>
    <row r="536" ht="15.75" customHeight="1">
      <c r="W536" s="64"/>
    </row>
    <row r="537" ht="15.75" customHeight="1">
      <c r="W537" s="64"/>
    </row>
    <row r="538" ht="15.75" customHeight="1">
      <c r="W538" s="64"/>
    </row>
    <row r="539" ht="15.75" customHeight="1">
      <c r="W539" s="64"/>
    </row>
    <row r="540" ht="15.75" customHeight="1">
      <c r="W540" s="64"/>
    </row>
    <row r="541" ht="15.75" customHeight="1">
      <c r="W541" s="64"/>
    </row>
    <row r="542" ht="15.75" customHeight="1">
      <c r="W542" s="64"/>
    </row>
    <row r="543" ht="15.75" customHeight="1">
      <c r="W543" s="64"/>
    </row>
    <row r="544" ht="15.75" customHeight="1">
      <c r="W544" s="64"/>
    </row>
    <row r="545" ht="15.75" customHeight="1">
      <c r="W545" s="64"/>
    </row>
    <row r="546" ht="15.75" customHeight="1">
      <c r="W546" s="64"/>
    </row>
    <row r="547" ht="15.75" customHeight="1">
      <c r="W547" s="64"/>
    </row>
    <row r="548" ht="15.75" customHeight="1">
      <c r="W548" s="64"/>
    </row>
    <row r="549" ht="15.75" customHeight="1">
      <c r="W549" s="64"/>
    </row>
    <row r="550" ht="15.75" customHeight="1">
      <c r="W550" s="64"/>
    </row>
    <row r="551" ht="15.75" customHeight="1">
      <c r="W551" s="64"/>
    </row>
    <row r="552" ht="15.75" customHeight="1">
      <c r="W552" s="64"/>
    </row>
    <row r="553" ht="15.75" customHeight="1">
      <c r="W553" s="64"/>
    </row>
    <row r="554" ht="15.75" customHeight="1">
      <c r="W554" s="64"/>
    </row>
    <row r="555" ht="15.75" customHeight="1">
      <c r="W555" s="64"/>
    </row>
    <row r="556" ht="15.75" customHeight="1">
      <c r="W556" s="64"/>
    </row>
    <row r="557" ht="15.75" customHeight="1">
      <c r="W557" s="64"/>
    </row>
    <row r="558" ht="15.75" customHeight="1">
      <c r="W558" s="64"/>
    </row>
    <row r="559" ht="15.75" customHeight="1">
      <c r="W559" s="64"/>
    </row>
    <row r="560" ht="15.75" customHeight="1">
      <c r="W560" s="64"/>
    </row>
    <row r="561" ht="15.75" customHeight="1">
      <c r="W561" s="64"/>
    </row>
    <row r="562" ht="15.75" customHeight="1">
      <c r="W562" s="64"/>
    </row>
    <row r="563" ht="15.75" customHeight="1">
      <c r="W563" s="64"/>
    </row>
    <row r="564" ht="15.75" customHeight="1">
      <c r="W564" s="64"/>
    </row>
    <row r="565" ht="15.75" customHeight="1">
      <c r="W565" s="64"/>
    </row>
    <row r="566" ht="15.75" customHeight="1">
      <c r="W566" s="64"/>
    </row>
    <row r="567" ht="15.75" customHeight="1">
      <c r="W567" s="64"/>
    </row>
    <row r="568" ht="15.75" customHeight="1">
      <c r="W568" s="64"/>
    </row>
    <row r="569" ht="15.75" customHeight="1">
      <c r="W569" s="64"/>
    </row>
    <row r="570" ht="15.75" customHeight="1">
      <c r="W570" s="64"/>
    </row>
    <row r="571" ht="15.75" customHeight="1">
      <c r="W571" s="64"/>
    </row>
    <row r="572" ht="15.75" customHeight="1">
      <c r="W572" s="64"/>
    </row>
    <row r="573" ht="15.75" customHeight="1">
      <c r="W573" s="64"/>
    </row>
    <row r="574" ht="15.75" customHeight="1">
      <c r="W574" s="64"/>
    </row>
    <row r="575" ht="15.75" customHeight="1">
      <c r="W575" s="64"/>
    </row>
    <row r="576" ht="15.75" customHeight="1">
      <c r="W576" s="64"/>
    </row>
    <row r="577" ht="15.75" customHeight="1">
      <c r="W577" s="64"/>
    </row>
    <row r="578" ht="15.75" customHeight="1">
      <c r="W578" s="64"/>
    </row>
    <row r="579" ht="15.75" customHeight="1">
      <c r="W579" s="64"/>
    </row>
    <row r="580" ht="15.75" customHeight="1">
      <c r="W580" s="64"/>
    </row>
    <row r="581" ht="15.75" customHeight="1">
      <c r="W581" s="64"/>
    </row>
    <row r="582" ht="15.75" customHeight="1">
      <c r="W582" s="64"/>
    </row>
    <row r="583" ht="15.75" customHeight="1">
      <c r="W583" s="64"/>
    </row>
    <row r="584" ht="15.75" customHeight="1">
      <c r="W584" s="64"/>
    </row>
    <row r="585" ht="15.75" customHeight="1">
      <c r="W585" s="64"/>
    </row>
    <row r="586" ht="15.75" customHeight="1">
      <c r="W586" s="64"/>
    </row>
    <row r="587" ht="15.75" customHeight="1">
      <c r="W587" s="64"/>
    </row>
    <row r="588" ht="15.75" customHeight="1">
      <c r="W588" s="64"/>
    </row>
    <row r="589" ht="15.75" customHeight="1">
      <c r="W589" s="64"/>
    </row>
    <row r="590" ht="15.75" customHeight="1">
      <c r="W590" s="64"/>
    </row>
    <row r="591" ht="15.75" customHeight="1">
      <c r="W591" s="64"/>
    </row>
    <row r="592" ht="15.75" customHeight="1">
      <c r="W592" s="64"/>
    </row>
    <row r="593" ht="15.75" customHeight="1">
      <c r="W593" s="64"/>
    </row>
    <row r="594" ht="15.75" customHeight="1">
      <c r="W594" s="64"/>
    </row>
    <row r="595" ht="15.75" customHeight="1">
      <c r="W595" s="64"/>
    </row>
    <row r="596" ht="15.75" customHeight="1">
      <c r="W596" s="64"/>
    </row>
    <row r="597" ht="15.75" customHeight="1">
      <c r="W597" s="64"/>
    </row>
    <row r="598" ht="15.75" customHeight="1">
      <c r="W598" s="64"/>
    </row>
    <row r="599" ht="15.75" customHeight="1">
      <c r="W599" s="64"/>
    </row>
    <row r="600" ht="15.75" customHeight="1">
      <c r="W600" s="64"/>
    </row>
    <row r="601" ht="15.75" customHeight="1">
      <c r="W601" s="64"/>
    </row>
    <row r="602" ht="15.75" customHeight="1">
      <c r="W602" s="64"/>
    </row>
    <row r="603" ht="15.75" customHeight="1">
      <c r="W603" s="64"/>
    </row>
    <row r="604" ht="15.75" customHeight="1">
      <c r="W604" s="64"/>
    </row>
    <row r="605" ht="15.75" customHeight="1">
      <c r="W605" s="64"/>
    </row>
    <row r="606" ht="15.75" customHeight="1">
      <c r="W606" s="64"/>
    </row>
    <row r="607" ht="15.75" customHeight="1">
      <c r="W607" s="64"/>
    </row>
    <row r="608" ht="15.75" customHeight="1">
      <c r="W608" s="64"/>
    </row>
    <row r="609" ht="15.75" customHeight="1">
      <c r="W609" s="64"/>
    </row>
    <row r="610" ht="15.75" customHeight="1">
      <c r="W610" s="64"/>
    </row>
    <row r="611" ht="15.75" customHeight="1">
      <c r="W611" s="64"/>
    </row>
    <row r="612" ht="15.75" customHeight="1">
      <c r="W612" s="64"/>
    </row>
    <row r="613" ht="15.75" customHeight="1">
      <c r="W613" s="64"/>
    </row>
    <row r="614" ht="15.75" customHeight="1">
      <c r="W614" s="64"/>
    </row>
    <row r="615" ht="15.75" customHeight="1">
      <c r="W615" s="64"/>
    </row>
    <row r="616" ht="15.75" customHeight="1">
      <c r="W616" s="64"/>
    </row>
    <row r="617" ht="15.75" customHeight="1">
      <c r="W617" s="64"/>
    </row>
    <row r="618" ht="15.75" customHeight="1">
      <c r="W618" s="64"/>
    </row>
    <row r="619" ht="15.75" customHeight="1">
      <c r="W619" s="64"/>
    </row>
    <row r="620" ht="15.75" customHeight="1">
      <c r="W620" s="64"/>
    </row>
    <row r="621" ht="15.75" customHeight="1">
      <c r="W621" s="64"/>
    </row>
    <row r="622" ht="15.75" customHeight="1">
      <c r="W622" s="64"/>
    </row>
    <row r="623" ht="15.75" customHeight="1">
      <c r="W623" s="64"/>
    </row>
    <row r="624" ht="15.75" customHeight="1">
      <c r="W624" s="64"/>
    </row>
    <row r="625" ht="15.75" customHeight="1">
      <c r="W625" s="64"/>
    </row>
    <row r="626" ht="15.75" customHeight="1">
      <c r="W626" s="64"/>
    </row>
    <row r="627" ht="15.75" customHeight="1">
      <c r="W627" s="64"/>
    </row>
    <row r="628" ht="15.75" customHeight="1">
      <c r="W628" s="64"/>
    </row>
    <row r="629" ht="15.75" customHeight="1">
      <c r="W629" s="64"/>
    </row>
    <row r="630" ht="15.75" customHeight="1">
      <c r="W630" s="64"/>
    </row>
    <row r="631" ht="15.75" customHeight="1">
      <c r="W631" s="64"/>
    </row>
    <row r="632" ht="15.75" customHeight="1">
      <c r="W632" s="64"/>
    </row>
    <row r="633" ht="15.75" customHeight="1">
      <c r="W633" s="64"/>
    </row>
    <row r="634" ht="15.75" customHeight="1">
      <c r="W634" s="64"/>
    </row>
    <row r="635" ht="15.75" customHeight="1">
      <c r="W635" s="64"/>
    </row>
    <row r="636" ht="15.75" customHeight="1">
      <c r="W636" s="64"/>
    </row>
    <row r="637" ht="15.75" customHeight="1">
      <c r="W637" s="64"/>
    </row>
    <row r="638" ht="15.75" customHeight="1">
      <c r="W638" s="64"/>
    </row>
    <row r="639" ht="15.75" customHeight="1">
      <c r="W639" s="64"/>
    </row>
    <row r="640" ht="15.75" customHeight="1">
      <c r="W640" s="64"/>
    </row>
    <row r="641" ht="15.75" customHeight="1">
      <c r="W641" s="64"/>
    </row>
    <row r="642" ht="15.75" customHeight="1">
      <c r="W642" s="64"/>
    </row>
    <row r="643" ht="15.75" customHeight="1">
      <c r="W643" s="64"/>
    </row>
    <row r="644" ht="15.75" customHeight="1">
      <c r="W644" s="64"/>
    </row>
    <row r="645" ht="15.75" customHeight="1">
      <c r="W645" s="64"/>
    </row>
    <row r="646" ht="15.75" customHeight="1">
      <c r="W646" s="64"/>
    </row>
    <row r="647" ht="15.75" customHeight="1">
      <c r="W647" s="64"/>
    </row>
    <row r="648" ht="15.75" customHeight="1">
      <c r="W648" s="64"/>
    </row>
    <row r="649" ht="15.75" customHeight="1">
      <c r="W649" s="64"/>
    </row>
    <row r="650" ht="15.75" customHeight="1">
      <c r="W650" s="64"/>
    </row>
    <row r="651" ht="15.75" customHeight="1">
      <c r="W651" s="64"/>
    </row>
    <row r="652" ht="15.75" customHeight="1">
      <c r="W652" s="64"/>
    </row>
    <row r="653" ht="15.75" customHeight="1">
      <c r="W653" s="64"/>
    </row>
    <row r="654" ht="15.75" customHeight="1">
      <c r="W654" s="64"/>
    </row>
    <row r="655" ht="15.75" customHeight="1">
      <c r="W655" s="64"/>
    </row>
    <row r="656" ht="15.75" customHeight="1">
      <c r="W656" s="64"/>
    </row>
    <row r="657" ht="15.75" customHeight="1">
      <c r="W657" s="64"/>
    </row>
    <row r="658" ht="15.75" customHeight="1">
      <c r="W658" s="64"/>
    </row>
    <row r="659" ht="15.75" customHeight="1">
      <c r="W659" s="64"/>
    </row>
    <row r="660" ht="15.75" customHeight="1">
      <c r="W660" s="64"/>
    </row>
    <row r="661" ht="15.75" customHeight="1">
      <c r="W661" s="64"/>
    </row>
    <row r="662" ht="15.75" customHeight="1">
      <c r="W662" s="64"/>
    </row>
    <row r="663" ht="15.75" customHeight="1">
      <c r="W663" s="64"/>
    </row>
    <row r="664" ht="15.75" customHeight="1">
      <c r="W664" s="64"/>
    </row>
    <row r="665" ht="15.75" customHeight="1">
      <c r="W665" s="64"/>
    </row>
    <row r="666" ht="15.75" customHeight="1">
      <c r="W666" s="64"/>
    </row>
    <row r="667" ht="15.75" customHeight="1">
      <c r="W667" s="64"/>
    </row>
    <row r="668" ht="15.75" customHeight="1">
      <c r="W668" s="64"/>
    </row>
    <row r="669" ht="15.75" customHeight="1">
      <c r="W669" s="64"/>
    </row>
    <row r="670" ht="15.75" customHeight="1">
      <c r="W670" s="64"/>
    </row>
    <row r="671" ht="15.75" customHeight="1">
      <c r="W671" s="64"/>
    </row>
    <row r="672" ht="15.75" customHeight="1">
      <c r="W672" s="64"/>
    </row>
    <row r="673" ht="15.75" customHeight="1">
      <c r="W673" s="64"/>
    </row>
    <row r="674" ht="15.75" customHeight="1">
      <c r="W674" s="64"/>
    </row>
    <row r="675" ht="15.75" customHeight="1">
      <c r="W675" s="64"/>
    </row>
    <row r="676" ht="15.75" customHeight="1">
      <c r="W676" s="64"/>
    </row>
    <row r="677" ht="15.75" customHeight="1">
      <c r="W677" s="64"/>
    </row>
    <row r="678" ht="15.75" customHeight="1">
      <c r="W678" s="64"/>
    </row>
    <row r="679" ht="15.75" customHeight="1">
      <c r="W679" s="64"/>
    </row>
    <row r="680" ht="15.75" customHeight="1">
      <c r="W680" s="64"/>
    </row>
    <row r="681" ht="15.75" customHeight="1">
      <c r="W681" s="64"/>
    </row>
    <row r="682" ht="15.75" customHeight="1">
      <c r="W682" s="64"/>
    </row>
    <row r="683" ht="15.75" customHeight="1">
      <c r="W683" s="64"/>
    </row>
    <row r="684" ht="15.75" customHeight="1">
      <c r="W684" s="64"/>
    </row>
    <row r="685" ht="15.75" customHeight="1">
      <c r="W685" s="64"/>
    </row>
    <row r="686" ht="15.75" customHeight="1">
      <c r="W686" s="64"/>
    </row>
    <row r="687" ht="15.75" customHeight="1">
      <c r="W687" s="64"/>
    </row>
    <row r="688" ht="15.75" customHeight="1">
      <c r="W688" s="64"/>
    </row>
    <row r="689" ht="15.75" customHeight="1">
      <c r="W689" s="64"/>
    </row>
    <row r="690" ht="15.75" customHeight="1">
      <c r="W690" s="64"/>
    </row>
    <row r="691" ht="15.75" customHeight="1">
      <c r="W691" s="64"/>
    </row>
    <row r="692" ht="15.75" customHeight="1">
      <c r="W692" s="64"/>
    </row>
    <row r="693" ht="15.75" customHeight="1">
      <c r="W693" s="64"/>
    </row>
    <row r="694" ht="15.75" customHeight="1">
      <c r="W694" s="64"/>
    </row>
    <row r="695" ht="15.75" customHeight="1">
      <c r="W695" s="64"/>
    </row>
    <row r="696" ht="15.75" customHeight="1">
      <c r="W696" s="64"/>
    </row>
    <row r="697" ht="15.75" customHeight="1">
      <c r="W697" s="64"/>
    </row>
    <row r="698" ht="15.75" customHeight="1">
      <c r="W698" s="64"/>
    </row>
    <row r="699" ht="15.75" customHeight="1">
      <c r="W699" s="64"/>
    </row>
    <row r="700" ht="15.75" customHeight="1">
      <c r="W700" s="64"/>
    </row>
    <row r="701" ht="15.75" customHeight="1">
      <c r="W701" s="64"/>
    </row>
    <row r="702" ht="15.75" customHeight="1">
      <c r="W702" s="64"/>
    </row>
    <row r="703" ht="15.75" customHeight="1">
      <c r="W703" s="64"/>
    </row>
    <row r="704" ht="15.75" customHeight="1">
      <c r="W704" s="64"/>
    </row>
    <row r="705" ht="15.75" customHeight="1">
      <c r="W705" s="64"/>
    </row>
    <row r="706" ht="15.75" customHeight="1">
      <c r="W706" s="64"/>
    </row>
    <row r="707" ht="15.75" customHeight="1">
      <c r="W707" s="64"/>
    </row>
    <row r="708" ht="15.75" customHeight="1">
      <c r="W708" s="64"/>
    </row>
    <row r="709" ht="15.75" customHeight="1">
      <c r="W709" s="64"/>
    </row>
    <row r="710" ht="15.75" customHeight="1">
      <c r="W710" s="64"/>
    </row>
    <row r="711" ht="15.75" customHeight="1">
      <c r="W711" s="64"/>
    </row>
    <row r="712" ht="15.75" customHeight="1">
      <c r="W712" s="64"/>
    </row>
    <row r="713" ht="15.75" customHeight="1">
      <c r="W713" s="64"/>
    </row>
    <row r="714" ht="15.75" customHeight="1">
      <c r="W714" s="64"/>
    </row>
    <row r="715" ht="15.75" customHeight="1">
      <c r="W715" s="64"/>
    </row>
    <row r="716" ht="15.75" customHeight="1">
      <c r="W716" s="64"/>
    </row>
    <row r="717" ht="15.75" customHeight="1">
      <c r="W717" s="64"/>
    </row>
    <row r="718" ht="15.75" customHeight="1">
      <c r="W718" s="64"/>
    </row>
    <row r="719" ht="15.75" customHeight="1">
      <c r="W719" s="64"/>
    </row>
    <row r="720" ht="15.75" customHeight="1">
      <c r="W720" s="64"/>
    </row>
    <row r="721" ht="15.75" customHeight="1">
      <c r="W721" s="64"/>
    </row>
    <row r="722" ht="15.75" customHeight="1">
      <c r="W722" s="64"/>
    </row>
    <row r="723" ht="15.75" customHeight="1">
      <c r="W723" s="64"/>
    </row>
    <row r="724" ht="15.75" customHeight="1">
      <c r="W724" s="64"/>
    </row>
    <row r="725" ht="15.75" customHeight="1">
      <c r="W725" s="64"/>
    </row>
    <row r="726" ht="15.75" customHeight="1">
      <c r="W726" s="64"/>
    </row>
    <row r="727" ht="15.75" customHeight="1">
      <c r="W727" s="64"/>
    </row>
    <row r="728" ht="15.75" customHeight="1">
      <c r="W728" s="64"/>
    </row>
    <row r="729" ht="15.75" customHeight="1">
      <c r="W729" s="64"/>
    </row>
    <row r="730" ht="15.75" customHeight="1">
      <c r="W730" s="64"/>
    </row>
    <row r="731" ht="15.75" customHeight="1">
      <c r="W731" s="64"/>
    </row>
    <row r="732" ht="15.75" customHeight="1">
      <c r="W732" s="64"/>
    </row>
    <row r="733" ht="15.75" customHeight="1">
      <c r="W733" s="64"/>
    </row>
    <row r="734" ht="15.75" customHeight="1">
      <c r="W734" s="64"/>
    </row>
    <row r="735" ht="15.75" customHeight="1">
      <c r="W735" s="64"/>
    </row>
    <row r="736" ht="15.75" customHeight="1">
      <c r="W736" s="64"/>
    </row>
    <row r="737" ht="15.75" customHeight="1">
      <c r="W737" s="64"/>
    </row>
    <row r="738" ht="15.75" customHeight="1">
      <c r="W738" s="64"/>
    </row>
    <row r="739" ht="15.75" customHeight="1">
      <c r="W739" s="64"/>
    </row>
    <row r="740" ht="15.75" customHeight="1">
      <c r="W740" s="64"/>
    </row>
    <row r="741" ht="15.75" customHeight="1">
      <c r="W741" s="64"/>
    </row>
    <row r="742" ht="15.75" customHeight="1">
      <c r="W742" s="64"/>
    </row>
    <row r="743" ht="15.75" customHeight="1">
      <c r="W743" s="64"/>
    </row>
    <row r="744" ht="15.75" customHeight="1">
      <c r="W744" s="64"/>
    </row>
    <row r="745" ht="15.75" customHeight="1">
      <c r="W745" s="64"/>
    </row>
    <row r="746" ht="15.75" customHeight="1">
      <c r="W746" s="64"/>
    </row>
    <row r="747" ht="15.75" customHeight="1">
      <c r="W747" s="64"/>
    </row>
    <row r="748" ht="15.75" customHeight="1">
      <c r="W748" s="64"/>
    </row>
    <row r="749" ht="15.75" customHeight="1">
      <c r="W749" s="64"/>
    </row>
    <row r="750" ht="15.75" customHeight="1">
      <c r="W750" s="64"/>
    </row>
    <row r="751" ht="15.75" customHeight="1">
      <c r="W751" s="64"/>
    </row>
    <row r="752" ht="15.75" customHeight="1">
      <c r="W752" s="64"/>
    </row>
    <row r="753" ht="15.75" customHeight="1">
      <c r="W753" s="64"/>
    </row>
    <row r="754" ht="15.75" customHeight="1">
      <c r="W754" s="64"/>
    </row>
    <row r="755" ht="15.75" customHeight="1">
      <c r="W755" s="64"/>
    </row>
    <row r="756" ht="15.75" customHeight="1">
      <c r="W756" s="64"/>
    </row>
    <row r="757" ht="15.75" customHeight="1">
      <c r="W757" s="64"/>
    </row>
    <row r="758" ht="15.75" customHeight="1">
      <c r="W758" s="64"/>
    </row>
    <row r="759" ht="15.75" customHeight="1">
      <c r="W759" s="64"/>
    </row>
    <row r="760" ht="15.75" customHeight="1">
      <c r="W760" s="64"/>
    </row>
    <row r="761" ht="15.75" customHeight="1">
      <c r="W761" s="64"/>
    </row>
    <row r="762" ht="15.75" customHeight="1">
      <c r="W762" s="64"/>
    </row>
    <row r="763" ht="15.75" customHeight="1">
      <c r="W763" s="64"/>
    </row>
    <row r="764" ht="15.75" customHeight="1">
      <c r="W764" s="64"/>
    </row>
    <row r="765" ht="15.75" customHeight="1">
      <c r="W765" s="64"/>
    </row>
    <row r="766" ht="15.75" customHeight="1">
      <c r="W766" s="64"/>
    </row>
    <row r="767" ht="15.75" customHeight="1">
      <c r="W767" s="64"/>
    </row>
    <row r="768" ht="15.75" customHeight="1">
      <c r="W768" s="64"/>
    </row>
    <row r="769" ht="15.75" customHeight="1">
      <c r="W769" s="64"/>
    </row>
    <row r="770" ht="15.75" customHeight="1">
      <c r="W770" s="64"/>
    </row>
    <row r="771" ht="15.75" customHeight="1">
      <c r="W771" s="64"/>
    </row>
    <row r="772" ht="15.75" customHeight="1">
      <c r="W772" s="64"/>
    </row>
    <row r="773" ht="15.75" customHeight="1">
      <c r="W773" s="64"/>
    </row>
    <row r="774" ht="15.75" customHeight="1">
      <c r="W774" s="64"/>
    </row>
    <row r="775" ht="15.75" customHeight="1">
      <c r="W775" s="64"/>
    </row>
    <row r="776" ht="15.75" customHeight="1">
      <c r="W776" s="64"/>
    </row>
    <row r="777" ht="15.75" customHeight="1">
      <c r="W777" s="64"/>
    </row>
    <row r="778" ht="15.75" customHeight="1">
      <c r="W778" s="64"/>
    </row>
    <row r="779" ht="15.75" customHeight="1">
      <c r="W779" s="64"/>
    </row>
    <row r="780" ht="15.75" customHeight="1">
      <c r="W780" s="64"/>
    </row>
    <row r="781" ht="15.75" customHeight="1">
      <c r="W781" s="64"/>
    </row>
    <row r="782" ht="15.75" customHeight="1">
      <c r="W782" s="64"/>
    </row>
    <row r="783" ht="15.75" customHeight="1">
      <c r="W783" s="64"/>
    </row>
    <row r="784" ht="15.75" customHeight="1">
      <c r="W784" s="64"/>
    </row>
    <row r="785" ht="15.75" customHeight="1">
      <c r="W785" s="64"/>
    </row>
    <row r="786" ht="15.75" customHeight="1">
      <c r="W786" s="64"/>
    </row>
    <row r="787" ht="15.75" customHeight="1">
      <c r="W787" s="64"/>
    </row>
    <row r="788" ht="15.75" customHeight="1">
      <c r="W788" s="64"/>
    </row>
    <row r="789" ht="15.75" customHeight="1">
      <c r="W789" s="64"/>
    </row>
    <row r="790" ht="15.75" customHeight="1">
      <c r="W790" s="64"/>
    </row>
    <row r="791" ht="15.75" customHeight="1">
      <c r="W791" s="64"/>
    </row>
    <row r="792" ht="15.75" customHeight="1">
      <c r="W792" s="64"/>
    </row>
    <row r="793" ht="15.75" customHeight="1">
      <c r="W793" s="64"/>
    </row>
    <row r="794" ht="15.75" customHeight="1">
      <c r="W794" s="64"/>
    </row>
    <row r="795" ht="15.75" customHeight="1">
      <c r="W795" s="64"/>
    </row>
    <row r="796" ht="15.75" customHeight="1">
      <c r="W796" s="64"/>
    </row>
    <row r="797" ht="15.75" customHeight="1">
      <c r="W797" s="64"/>
    </row>
    <row r="798" ht="15.75" customHeight="1">
      <c r="W798" s="64"/>
    </row>
    <row r="799" ht="15.75" customHeight="1">
      <c r="W799" s="64"/>
    </row>
    <row r="800" ht="15.75" customHeight="1">
      <c r="W800" s="64"/>
    </row>
    <row r="801" ht="15.75" customHeight="1">
      <c r="W801" s="64"/>
    </row>
    <row r="802" ht="15.75" customHeight="1">
      <c r="W802" s="64"/>
    </row>
    <row r="803" ht="15.75" customHeight="1">
      <c r="W803" s="64"/>
    </row>
    <row r="804" ht="15.75" customHeight="1">
      <c r="W804" s="64"/>
    </row>
    <row r="805" ht="15.75" customHeight="1">
      <c r="W805" s="64"/>
    </row>
    <row r="806" ht="15.75" customHeight="1">
      <c r="W806" s="64"/>
    </row>
    <row r="807" ht="15.75" customHeight="1">
      <c r="W807" s="64"/>
    </row>
    <row r="808" ht="15.75" customHeight="1">
      <c r="W808" s="64"/>
    </row>
    <row r="809" ht="15.75" customHeight="1">
      <c r="W809" s="64"/>
    </row>
    <row r="810" ht="15.75" customHeight="1">
      <c r="W810" s="64"/>
    </row>
    <row r="811" ht="15.75" customHeight="1">
      <c r="W811" s="64"/>
    </row>
    <row r="812" ht="15.75" customHeight="1">
      <c r="W812" s="64"/>
    </row>
    <row r="813" ht="15.75" customHeight="1">
      <c r="W813" s="64"/>
    </row>
    <row r="814" ht="15.75" customHeight="1">
      <c r="W814" s="64"/>
    </row>
    <row r="815" ht="15.75" customHeight="1">
      <c r="W815" s="64"/>
    </row>
    <row r="816" ht="15.75" customHeight="1">
      <c r="W816" s="64"/>
    </row>
    <row r="817" ht="15.75" customHeight="1">
      <c r="W817" s="64"/>
    </row>
    <row r="818" ht="15.75" customHeight="1">
      <c r="W818" s="64"/>
    </row>
    <row r="819" ht="15.75" customHeight="1">
      <c r="W819" s="64"/>
    </row>
    <row r="820" ht="15.75" customHeight="1">
      <c r="W820" s="64"/>
    </row>
    <row r="821" ht="15.75" customHeight="1">
      <c r="W821" s="64"/>
    </row>
    <row r="822" ht="15.75" customHeight="1">
      <c r="W822" s="64"/>
    </row>
    <row r="823" ht="15.75" customHeight="1">
      <c r="W823" s="64"/>
    </row>
    <row r="824" ht="15.75" customHeight="1">
      <c r="W824" s="64"/>
    </row>
    <row r="825" ht="15.75" customHeight="1">
      <c r="W825" s="64"/>
    </row>
    <row r="826" ht="15.75" customHeight="1">
      <c r="W826" s="64"/>
    </row>
    <row r="827" ht="15.75" customHeight="1">
      <c r="W827" s="64"/>
    </row>
    <row r="828" ht="15.75" customHeight="1">
      <c r="W828" s="64"/>
    </row>
    <row r="829" ht="15.75" customHeight="1">
      <c r="W829" s="64"/>
    </row>
    <row r="830" ht="15.75" customHeight="1">
      <c r="W830" s="64"/>
    </row>
    <row r="831" ht="15.75" customHeight="1">
      <c r="W831" s="64"/>
    </row>
    <row r="832" ht="15.75" customHeight="1">
      <c r="W832" s="64"/>
    </row>
    <row r="833" ht="15.75" customHeight="1">
      <c r="W833" s="64"/>
    </row>
    <row r="834" ht="15.75" customHeight="1">
      <c r="W834" s="64"/>
    </row>
    <row r="835" ht="15.75" customHeight="1">
      <c r="W835" s="64"/>
    </row>
    <row r="836" ht="15.75" customHeight="1">
      <c r="W836" s="64"/>
    </row>
    <row r="837" ht="15.75" customHeight="1">
      <c r="W837" s="64"/>
    </row>
    <row r="838" ht="15.75" customHeight="1">
      <c r="W838" s="64"/>
    </row>
    <row r="839" ht="15.75" customHeight="1">
      <c r="W839" s="64"/>
    </row>
    <row r="840" ht="15.75" customHeight="1">
      <c r="W840" s="64"/>
    </row>
    <row r="841" ht="15.75" customHeight="1">
      <c r="W841" s="64"/>
    </row>
    <row r="842" ht="15.75" customHeight="1">
      <c r="W842" s="64"/>
    </row>
    <row r="843" ht="15.75" customHeight="1">
      <c r="W843" s="64"/>
    </row>
    <row r="844" ht="15.75" customHeight="1">
      <c r="W844" s="64"/>
    </row>
    <row r="845" ht="15.75" customHeight="1">
      <c r="W845" s="64"/>
    </row>
    <row r="846" ht="15.75" customHeight="1">
      <c r="W846" s="64"/>
    </row>
    <row r="847" ht="15.75" customHeight="1">
      <c r="W847" s="64"/>
    </row>
    <row r="848" ht="15.75" customHeight="1">
      <c r="W848" s="64"/>
    </row>
    <row r="849" ht="15.75" customHeight="1">
      <c r="W849" s="64"/>
    </row>
    <row r="850" ht="15.75" customHeight="1">
      <c r="W850" s="64"/>
    </row>
    <row r="851" ht="15.75" customHeight="1">
      <c r="W851" s="64"/>
    </row>
    <row r="852" ht="15.75" customHeight="1">
      <c r="W852" s="64"/>
    </row>
    <row r="853" ht="15.75" customHeight="1">
      <c r="W853" s="64"/>
    </row>
    <row r="854" ht="15.75" customHeight="1">
      <c r="W854" s="64"/>
    </row>
    <row r="855" ht="15.75" customHeight="1">
      <c r="W855" s="64"/>
    </row>
    <row r="856" ht="15.75" customHeight="1">
      <c r="W856" s="64"/>
    </row>
    <row r="857" ht="15.75" customHeight="1">
      <c r="W857" s="64"/>
    </row>
    <row r="858" ht="15.75" customHeight="1">
      <c r="W858" s="64"/>
    </row>
    <row r="859" ht="15.75" customHeight="1">
      <c r="W859" s="64"/>
    </row>
    <row r="860" ht="15.75" customHeight="1">
      <c r="W860" s="64"/>
    </row>
    <row r="861" ht="15.75" customHeight="1">
      <c r="W861" s="64"/>
    </row>
    <row r="862" ht="15.75" customHeight="1">
      <c r="W862" s="64"/>
    </row>
    <row r="863" ht="15.75" customHeight="1">
      <c r="W863" s="64"/>
    </row>
    <row r="864" ht="15.75" customHeight="1">
      <c r="W864" s="64"/>
    </row>
    <row r="865" ht="15.75" customHeight="1">
      <c r="W865" s="64"/>
    </row>
    <row r="866" ht="15.75" customHeight="1">
      <c r="W866" s="64"/>
    </row>
    <row r="867" ht="15.75" customHeight="1">
      <c r="W867" s="64"/>
    </row>
    <row r="868" ht="15.75" customHeight="1">
      <c r="W868" s="64"/>
    </row>
    <row r="869" ht="15.75" customHeight="1">
      <c r="W869" s="64"/>
    </row>
    <row r="870" ht="15.75" customHeight="1">
      <c r="W870" s="64"/>
    </row>
    <row r="871" ht="15.75" customHeight="1">
      <c r="W871" s="64"/>
    </row>
    <row r="872" ht="15.75" customHeight="1">
      <c r="W872" s="64"/>
    </row>
    <row r="873" ht="15.75" customHeight="1">
      <c r="W873" s="64"/>
    </row>
    <row r="874" ht="15.75" customHeight="1">
      <c r="W874" s="64"/>
    </row>
    <row r="875" ht="15.75" customHeight="1">
      <c r="W875" s="64"/>
    </row>
    <row r="876" ht="15.75" customHeight="1">
      <c r="W876" s="64"/>
    </row>
    <row r="877" ht="15.75" customHeight="1">
      <c r="W877" s="64"/>
    </row>
    <row r="878" ht="15.75" customHeight="1">
      <c r="W878" s="64"/>
    </row>
    <row r="879" ht="15.75" customHeight="1">
      <c r="W879" s="64"/>
    </row>
    <row r="880" ht="15.75" customHeight="1">
      <c r="W880" s="64"/>
    </row>
    <row r="881" ht="15.75" customHeight="1">
      <c r="W881" s="64"/>
    </row>
    <row r="882" ht="15.75" customHeight="1">
      <c r="W882" s="64"/>
    </row>
    <row r="883" ht="15.75" customHeight="1">
      <c r="W883" s="64"/>
    </row>
    <row r="884" ht="15.75" customHeight="1">
      <c r="W884" s="64"/>
    </row>
    <row r="885" ht="15.75" customHeight="1">
      <c r="W885" s="64"/>
    </row>
    <row r="886" ht="15.75" customHeight="1">
      <c r="W886" s="64"/>
    </row>
    <row r="887" ht="15.75" customHeight="1">
      <c r="W887" s="64"/>
    </row>
    <row r="888" ht="15.75" customHeight="1">
      <c r="W888" s="64"/>
    </row>
    <row r="889" ht="15.75" customHeight="1">
      <c r="W889" s="64"/>
    </row>
    <row r="890" ht="15.75" customHeight="1">
      <c r="W890" s="64"/>
    </row>
    <row r="891" ht="15.75" customHeight="1">
      <c r="W891" s="64"/>
    </row>
    <row r="892" ht="15.75" customHeight="1">
      <c r="W892" s="64"/>
    </row>
    <row r="893" ht="15.75" customHeight="1">
      <c r="W893" s="64"/>
    </row>
    <row r="894" ht="15.75" customHeight="1">
      <c r="W894" s="64"/>
    </row>
    <row r="895" ht="15.75" customHeight="1">
      <c r="W895" s="64"/>
    </row>
    <row r="896" ht="15.75" customHeight="1">
      <c r="W896" s="64"/>
    </row>
    <row r="897" ht="15.75" customHeight="1">
      <c r="W897" s="64"/>
    </row>
    <row r="898" ht="15.75" customHeight="1">
      <c r="W898" s="64"/>
    </row>
    <row r="899" ht="15.75" customHeight="1">
      <c r="W899" s="64"/>
    </row>
    <row r="900" ht="15.75" customHeight="1">
      <c r="W900" s="64"/>
    </row>
    <row r="901" ht="15.75" customHeight="1">
      <c r="W901" s="64"/>
    </row>
    <row r="902" ht="15.75" customHeight="1">
      <c r="W902" s="64"/>
    </row>
    <row r="903" ht="15.75" customHeight="1">
      <c r="W903" s="64"/>
    </row>
    <row r="904" ht="15.75" customHeight="1">
      <c r="W904" s="64"/>
    </row>
    <row r="905" ht="15.75" customHeight="1">
      <c r="W905" s="64"/>
    </row>
    <row r="906" ht="15.75" customHeight="1">
      <c r="W906" s="64"/>
    </row>
    <row r="907" ht="15.75" customHeight="1">
      <c r="W907" s="64"/>
    </row>
    <row r="908" ht="15.75" customHeight="1">
      <c r="W908" s="64"/>
    </row>
    <row r="909" ht="15.75" customHeight="1">
      <c r="W909" s="64"/>
    </row>
    <row r="910" ht="15.75" customHeight="1">
      <c r="W910" s="64"/>
    </row>
    <row r="911" ht="15.75" customHeight="1">
      <c r="W911" s="64"/>
    </row>
    <row r="912" ht="15.75" customHeight="1">
      <c r="W912" s="64"/>
    </row>
    <row r="913" ht="15.75" customHeight="1">
      <c r="W913" s="64"/>
    </row>
    <row r="914" ht="15.75" customHeight="1">
      <c r="W914" s="64"/>
    </row>
    <row r="915" ht="15.75" customHeight="1">
      <c r="W915" s="64"/>
    </row>
    <row r="916" ht="15.75" customHeight="1">
      <c r="W916" s="64"/>
    </row>
    <row r="917" ht="15.75" customHeight="1">
      <c r="W917" s="64"/>
    </row>
    <row r="918" ht="15.75" customHeight="1">
      <c r="W918" s="64"/>
    </row>
    <row r="919" ht="15.75" customHeight="1">
      <c r="W919" s="64"/>
    </row>
    <row r="920" ht="15.75" customHeight="1">
      <c r="W920" s="64"/>
    </row>
    <row r="921" ht="15.75" customHeight="1">
      <c r="W921" s="64"/>
    </row>
    <row r="922" ht="15.75" customHeight="1">
      <c r="W922" s="64"/>
    </row>
    <row r="923" ht="15.75" customHeight="1">
      <c r="W923" s="64"/>
    </row>
    <row r="924" ht="15.75" customHeight="1">
      <c r="W924" s="64"/>
    </row>
    <row r="925" ht="15.75" customHeight="1">
      <c r="W925" s="64"/>
    </row>
    <row r="926" ht="15.75" customHeight="1">
      <c r="W926" s="64"/>
    </row>
    <row r="927" ht="15.75" customHeight="1">
      <c r="W927" s="64"/>
    </row>
    <row r="928" ht="15.75" customHeight="1">
      <c r="W928" s="64"/>
    </row>
    <row r="929" ht="15.75" customHeight="1">
      <c r="W929" s="64"/>
    </row>
    <row r="930" ht="15.75" customHeight="1">
      <c r="W930" s="64"/>
    </row>
    <row r="931" ht="15.75" customHeight="1">
      <c r="W931" s="64"/>
    </row>
    <row r="932" ht="15.75" customHeight="1">
      <c r="W932" s="64"/>
    </row>
    <row r="933" ht="15.75" customHeight="1">
      <c r="W933" s="64"/>
    </row>
    <row r="934" ht="15.75" customHeight="1">
      <c r="W934" s="64"/>
    </row>
    <row r="935" ht="15.75" customHeight="1">
      <c r="W935" s="64"/>
    </row>
    <row r="936" ht="15.75" customHeight="1">
      <c r="W936" s="64"/>
    </row>
    <row r="937" ht="15.75" customHeight="1">
      <c r="W937" s="64"/>
    </row>
    <row r="938" ht="15.75" customHeight="1">
      <c r="W938" s="64"/>
    </row>
    <row r="939" ht="15.75" customHeight="1">
      <c r="W939" s="64"/>
    </row>
    <row r="940" ht="15.75" customHeight="1">
      <c r="W940" s="64"/>
    </row>
    <row r="941" ht="15.75" customHeight="1">
      <c r="W941" s="64"/>
    </row>
    <row r="942" ht="15.75" customHeight="1">
      <c r="W942" s="64"/>
    </row>
    <row r="943" ht="15.75" customHeight="1">
      <c r="W943" s="64"/>
    </row>
    <row r="944" ht="15.75" customHeight="1">
      <c r="W944" s="64"/>
    </row>
    <row r="945" ht="15.75" customHeight="1">
      <c r="W945" s="64"/>
    </row>
    <row r="946" ht="15.75" customHeight="1">
      <c r="W946" s="64"/>
    </row>
    <row r="947" ht="15.75" customHeight="1">
      <c r="W947" s="64"/>
    </row>
    <row r="948" ht="15.75" customHeight="1">
      <c r="W948" s="64"/>
    </row>
    <row r="949" ht="15.75" customHeight="1">
      <c r="W949" s="64"/>
    </row>
    <row r="950" ht="15.75" customHeight="1">
      <c r="W950" s="64"/>
    </row>
    <row r="951" ht="15.75" customHeight="1">
      <c r="W951" s="64"/>
    </row>
    <row r="952" ht="15.75" customHeight="1">
      <c r="W952" s="64"/>
    </row>
    <row r="953" ht="15.75" customHeight="1">
      <c r="W953" s="64"/>
    </row>
    <row r="954" ht="15.75" customHeight="1">
      <c r="W954" s="64"/>
    </row>
    <row r="955" ht="15.75" customHeight="1">
      <c r="W955" s="64"/>
    </row>
    <row r="956" ht="15.75" customHeight="1">
      <c r="W956" s="64"/>
    </row>
    <row r="957" ht="15.75" customHeight="1">
      <c r="W957" s="64"/>
    </row>
    <row r="958" ht="15.75" customHeight="1">
      <c r="W958" s="64"/>
    </row>
    <row r="959" ht="15.75" customHeight="1">
      <c r="W959" s="64"/>
    </row>
    <row r="960" ht="15.75" customHeight="1">
      <c r="W960" s="64"/>
    </row>
    <row r="961" ht="15.75" customHeight="1">
      <c r="W961" s="64"/>
    </row>
    <row r="962" ht="15.75" customHeight="1">
      <c r="W962" s="64"/>
    </row>
    <row r="963" ht="15.75" customHeight="1">
      <c r="W963" s="64"/>
    </row>
    <row r="964" ht="15.75" customHeight="1">
      <c r="W964" s="64"/>
    </row>
    <row r="965" ht="15.75" customHeight="1">
      <c r="W965" s="64"/>
    </row>
    <row r="966" ht="15.75" customHeight="1">
      <c r="W966" s="64"/>
    </row>
    <row r="967" ht="15.75" customHeight="1">
      <c r="W967" s="64"/>
    </row>
    <row r="968" ht="15.75" customHeight="1">
      <c r="W968" s="64"/>
    </row>
    <row r="969" ht="15.75" customHeight="1">
      <c r="W969" s="64"/>
    </row>
    <row r="970" ht="15.75" customHeight="1">
      <c r="W970" s="64"/>
    </row>
    <row r="971" ht="15.75" customHeight="1">
      <c r="W971" s="64"/>
    </row>
    <row r="972" ht="15.75" customHeight="1">
      <c r="W972" s="64"/>
    </row>
    <row r="973" ht="15.75" customHeight="1">
      <c r="W973" s="64"/>
    </row>
    <row r="974" ht="15.75" customHeight="1">
      <c r="W974" s="64"/>
    </row>
    <row r="975" ht="15.75" customHeight="1">
      <c r="W975" s="64"/>
    </row>
    <row r="976" ht="15.75" customHeight="1">
      <c r="W976" s="64"/>
    </row>
    <row r="977" ht="15.75" customHeight="1">
      <c r="W977" s="64"/>
    </row>
    <row r="978" ht="15.75" customHeight="1">
      <c r="W978" s="64"/>
    </row>
    <row r="979" ht="15.75" customHeight="1">
      <c r="W979" s="64"/>
    </row>
    <row r="980" ht="15.75" customHeight="1">
      <c r="W980" s="64"/>
    </row>
    <row r="981" ht="15.75" customHeight="1">
      <c r="W981" s="64"/>
    </row>
    <row r="982" ht="15.75" customHeight="1">
      <c r="W982" s="64"/>
    </row>
    <row r="983" ht="15.75" customHeight="1">
      <c r="W983" s="64"/>
    </row>
    <row r="984" ht="15.75" customHeight="1">
      <c r="W984" s="64"/>
    </row>
    <row r="985" ht="15.75" customHeight="1">
      <c r="W985" s="64"/>
    </row>
    <row r="986" ht="15.75" customHeight="1">
      <c r="W986" s="64"/>
    </row>
    <row r="987" ht="15.75" customHeight="1">
      <c r="W987" s="64"/>
    </row>
    <row r="988" ht="15.75" customHeight="1">
      <c r="W988" s="64"/>
    </row>
    <row r="989" ht="15.75" customHeight="1">
      <c r="W989" s="64"/>
    </row>
    <row r="990" ht="15.75" customHeight="1">
      <c r="W990" s="64"/>
    </row>
    <row r="991" ht="15.75" customHeight="1">
      <c r="W991" s="64"/>
    </row>
    <row r="992" ht="15.75" customHeight="1">
      <c r="W992" s="64"/>
    </row>
    <row r="993" ht="15.75" customHeight="1">
      <c r="W993" s="64"/>
    </row>
    <row r="994" ht="15.75" customHeight="1">
      <c r="W994" s="64"/>
    </row>
    <row r="995" ht="15.75" customHeight="1">
      <c r="W995" s="64"/>
    </row>
    <row r="996" ht="15.75" customHeight="1">
      <c r="W996" s="64"/>
    </row>
    <row r="997" ht="15.75" customHeight="1">
      <c r="W997" s="64"/>
    </row>
    <row r="998" ht="15.75" customHeight="1">
      <c r="W998" s="64"/>
    </row>
    <row r="999" ht="15.75" customHeight="1">
      <c r="W999" s="64"/>
    </row>
    <row r="1000" ht="15.75" customHeight="1">
      <c r="W1000" s="6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53.29"/>
    <col customWidth="1" hidden="1" min="3" max="44" width="8.0"/>
    <col customWidth="1" min="45" max="49" width="10.71"/>
    <col customWidth="1" min="50" max="50" width="9.86"/>
    <col customWidth="1" min="51" max="51" width="8.0"/>
  </cols>
  <sheetData>
    <row r="1" ht="135.0" customHeight="1">
      <c r="A1" s="61" t="s">
        <v>49</v>
      </c>
      <c r="B1" s="62" t="s">
        <v>50</v>
      </c>
      <c r="C1" s="61" t="s">
        <v>51</v>
      </c>
      <c r="D1" s="61" t="s">
        <v>52</v>
      </c>
      <c r="E1" s="61" t="s">
        <v>53</v>
      </c>
      <c r="F1" s="61" t="s">
        <v>54</v>
      </c>
      <c r="G1" s="61" t="s">
        <v>55</v>
      </c>
      <c r="H1" s="61" t="s">
        <v>56</v>
      </c>
      <c r="I1" s="61" t="s">
        <v>57</v>
      </c>
      <c r="J1" s="61" t="s">
        <v>58</v>
      </c>
      <c r="K1" s="61" t="s">
        <v>59</v>
      </c>
      <c r="L1" s="61" t="s">
        <v>60</v>
      </c>
      <c r="M1" s="61" t="s">
        <v>61</v>
      </c>
      <c r="N1" s="61" t="s">
        <v>62</v>
      </c>
      <c r="O1" s="61" t="s">
        <v>63</v>
      </c>
      <c r="P1" s="61" t="s">
        <v>64</v>
      </c>
      <c r="Q1" s="61" t="s">
        <v>65</v>
      </c>
      <c r="R1" s="61" t="s">
        <v>66</v>
      </c>
      <c r="S1" s="61" t="s">
        <v>67</v>
      </c>
      <c r="T1" s="61" t="s">
        <v>68</v>
      </c>
      <c r="U1" s="61" t="s">
        <v>69</v>
      </c>
      <c r="V1" s="61" t="s">
        <v>70</v>
      </c>
      <c r="W1" s="61" t="s">
        <v>71</v>
      </c>
      <c r="X1" s="61" t="s">
        <v>72</v>
      </c>
      <c r="Y1" s="61" t="s">
        <v>73</v>
      </c>
      <c r="Z1" s="61" t="s">
        <v>74</v>
      </c>
      <c r="AA1" s="61" t="s">
        <v>75</v>
      </c>
      <c r="AB1" s="61" t="s">
        <v>76</v>
      </c>
      <c r="AC1" s="61" t="s">
        <v>77</v>
      </c>
      <c r="AD1" s="61" t="s">
        <v>78</v>
      </c>
      <c r="AE1" s="61" t="s">
        <v>79</v>
      </c>
      <c r="AF1" s="61" t="s">
        <v>80</v>
      </c>
      <c r="AG1" s="61" t="s">
        <v>81</v>
      </c>
      <c r="AH1" s="61" t="s">
        <v>82</v>
      </c>
      <c r="AI1" s="61" t="s">
        <v>83</v>
      </c>
      <c r="AJ1" s="61" t="s">
        <v>84</v>
      </c>
      <c r="AK1" s="61" t="s">
        <v>85</v>
      </c>
      <c r="AL1" s="61" t="s">
        <v>86</v>
      </c>
      <c r="AM1" s="61" t="s">
        <v>87</v>
      </c>
      <c r="AN1" s="61" t="s">
        <v>88</v>
      </c>
      <c r="AO1" s="61" t="s">
        <v>89</v>
      </c>
      <c r="AP1" s="61" t="s">
        <v>90</v>
      </c>
      <c r="AQ1" s="61" t="s">
        <v>91</v>
      </c>
      <c r="AR1" s="61" t="s">
        <v>1057</v>
      </c>
      <c r="AS1" s="61" t="s">
        <v>1058</v>
      </c>
      <c r="AT1" s="61" t="s">
        <v>1059</v>
      </c>
      <c r="AU1" s="61" t="s">
        <v>1060</v>
      </c>
      <c r="AV1" s="61" t="s">
        <v>1061</v>
      </c>
      <c r="AW1" s="61" t="s">
        <v>1056</v>
      </c>
      <c r="AX1" s="67"/>
    </row>
    <row r="2">
      <c r="A2" s="63" t="s">
        <v>646</v>
      </c>
      <c r="B2" s="63" t="s">
        <v>647</v>
      </c>
      <c r="C2" s="63" t="s">
        <v>648</v>
      </c>
      <c r="D2" s="63">
        <v>80209.0</v>
      </c>
      <c r="E2" s="63" t="s">
        <v>421</v>
      </c>
      <c r="F2" s="63">
        <v>227.0</v>
      </c>
      <c r="G2" s="63">
        <v>49.0</v>
      </c>
      <c r="H2" s="63">
        <v>236.0</v>
      </c>
      <c r="I2" s="63">
        <v>40.0</v>
      </c>
      <c r="K2" s="63">
        <v>227.0</v>
      </c>
      <c r="L2" s="63">
        <v>187.0</v>
      </c>
      <c r="N2" s="63">
        <v>227.0</v>
      </c>
      <c r="S2" s="63">
        <v>2.0</v>
      </c>
      <c r="U2" s="63">
        <v>3.0</v>
      </c>
      <c r="W2" s="64"/>
      <c r="X2" s="63">
        <v>49.0</v>
      </c>
      <c r="AS2" s="63">
        <f t="shared" ref="AS2:AS256" si="1">SUM(F2+G2+H2+I2+J2+K2+L2+M2+Y2+Z2+AA2+AB2+AC2+AD2+AE2+AF2)</f>
        <v>966</v>
      </c>
      <c r="AT2" s="63">
        <f t="shared" ref="AT2:AT256" si="2">SUM(N2+O2+P2+Q2+R2+S2+T2+U2+V2+AG2+AH2+AI2+AJ2+AK2+AL2+AM2+AN2+AO2)</f>
        <v>232</v>
      </c>
      <c r="AU2" s="63">
        <f t="shared" ref="AU2:AU256" si="3">SUM(W2+X2+AP2+AQ2)</f>
        <v>49</v>
      </c>
      <c r="AV2" s="63">
        <f t="shared" ref="AV2:AV256" si="4">SUM(AS2-AT2)</f>
        <v>734</v>
      </c>
      <c r="AW2" s="63">
        <f t="shared" ref="AW2:AW256" si="5">SUM(AV2-AU2)</f>
        <v>685</v>
      </c>
      <c r="AX2" s="67">
        <f t="shared" ref="AX2:AX254" si="6">SUM(AW2/AY4)</f>
        <v>0.006586031844</v>
      </c>
      <c r="AY2" s="63">
        <v>104008.0</v>
      </c>
    </row>
    <row r="3">
      <c r="A3" s="63" t="s">
        <v>327</v>
      </c>
      <c r="B3" s="63" t="s">
        <v>328</v>
      </c>
      <c r="C3" s="63" t="s">
        <v>329</v>
      </c>
      <c r="D3" s="63">
        <v>80513.0</v>
      </c>
      <c r="E3" s="63" t="s">
        <v>258</v>
      </c>
      <c r="I3" s="63">
        <v>13.0</v>
      </c>
      <c r="K3" s="63">
        <v>12.0</v>
      </c>
      <c r="L3" s="63">
        <v>34.0</v>
      </c>
      <c r="N3" s="63">
        <v>52.0</v>
      </c>
      <c r="P3" s="63">
        <v>2.0</v>
      </c>
      <c r="W3" s="64">
        <v>7.0</v>
      </c>
      <c r="X3" s="63">
        <v>7.0</v>
      </c>
      <c r="Y3" s="63">
        <v>258.0</v>
      </c>
      <c r="Z3" s="63">
        <v>258.0</v>
      </c>
      <c r="AB3" s="63">
        <v>10.0</v>
      </c>
      <c r="AD3" s="63">
        <v>29.0</v>
      </c>
      <c r="AE3" s="63">
        <v>229.0</v>
      </c>
      <c r="AG3" s="63">
        <v>258.0</v>
      </c>
      <c r="AL3" s="63">
        <v>1.0</v>
      </c>
      <c r="AP3" s="63">
        <v>46.0</v>
      </c>
      <c r="AQ3" s="63">
        <v>46.0</v>
      </c>
      <c r="AR3" s="63">
        <v>15.0</v>
      </c>
      <c r="AS3" s="63">
        <f t="shared" si="1"/>
        <v>843</v>
      </c>
      <c r="AT3" s="63">
        <f t="shared" si="2"/>
        <v>313</v>
      </c>
      <c r="AU3" s="63">
        <f t="shared" si="3"/>
        <v>106</v>
      </c>
      <c r="AV3" s="63">
        <f t="shared" si="4"/>
        <v>530</v>
      </c>
      <c r="AW3" s="63">
        <f t="shared" si="5"/>
        <v>424</v>
      </c>
      <c r="AX3" s="67">
        <f t="shared" si="6"/>
        <v>0.004076609492</v>
      </c>
      <c r="AY3" s="63">
        <v>104008.0</v>
      </c>
    </row>
    <row r="4">
      <c r="A4" s="63" t="s">
        <v>536</v>
      </c>
      <c r="B4" s="63" t="s">
        <v>537</v>
      </c>
      <c r="C4" s="63" t="s">
        <v>538</v>
      </c>
      <c r="D4" s="63">
        <v>81631.0</v>
      </c>
      <c r="E4" s="63" t="s">
        <v>539</v>
      </c>
      <c r="F4" s="63">
        <v>225.0</v>
      </c>
      <c r="G4" s="63">
        <v>2.0</v>
      </c>
      <c r="H4" s="63">
        <v>227.0</v>
      </c>
      <c r="I4" s="63">
        <v>218.0</v>
      </c>
      <c r="J4" s="63">
        <v>15.0</v>
      </c>
      <c r="L4" s="63">
        <v>17.0</v>
      </c>
      <c r="M4" s="63">
        <v>100.0</v>
      </c>
      <c r="N4" s="63">
        <v>54.0</v>
      </c>
      <c r="O4" s="63">
        <v>145.0</v>
      </c>
      <c r="P4" s="63">
        <v>17.0</v>
      </c>
      <c r="W4" s="64">
        <v>225.0</v>
      </c>
      <c r="X4" s="63">
        <v>2.0</v>
      </c>
      <c r="Y4" s="63">
        <v>50.0</v>
      </c>
      <c r="AA4" s="63">
        <v>28.0</v>
      </c>
      <c r="AB4" s="63">
        <v>14.0</v>
      </c>
      <c r="AD4" s="63">
        <v>3.0</v>
      </c>
      <c r="AG4" s="63">
        <v>28.0</v>
      </c>
      <c r="AH4" s="63">
        <v>19.0</v>
      </c>
      <c r="AI4" s="63">
        <v>1.0</v>
      </c>
      <c r="AN4" s="63">
        <v>1.0</v>
      </c>
      <c r="AR4" s="63">
        <v>12.0</v>
      </c>
      <c r="AS4" s="63">
        <f t="shared" si="1"/>
        <v>899</v>
      </c>
      <c r="AT4" s="63">
        <f t="shared" si="2"/>
        <v>265</v>
      </c>
      <c r="AU4" s="63">
        <f t="shared" si="3"/>
        <v>227</v>
      </c>
      <c r="AV4" s="63">
        <f t="shared" si="4"/>
        <v>634</v>
      </c>
      <c r="AW4" s="63">
        <f t="shared" si="5"/>
        <v>407</v>
      </c>
      <c r="AX4" s="67">
        <f t="shared" si="6"/>
        <v>0.003913160526</v>
      </c>
      <c r="AY4" s="63">
        <v>104008.0</v>
      </c>
    </row>
    <row r="5" ht="14.25" customHeight="1">
      <c r="A5" s="63" t="s">
        <v>517</v>
      </c>
      <c r="B5" s="63" t="s">
        <v>518</v>
      </c>
      <c r="C5" s="63" t="s">
        <v>519</v>
      </c>
      <c r="D5" s="63" t="s">
        <v>520</v>
      </c>
      <c r="E5" s="63" t="s">
        <v>444</v>
      </c>
      <c r="F5" s="63">
        <v>61.0</v>
      </c>
      <c r="G5" s="63">
        <v>61.0</v>
      </c>
      <c r="I5" s="63">
        <v>3.0</v>
      </c>
      <c r="L5" s="63">
        <v>55.0</v>
      </c>
      <c r="N5" s="63">
        <v>51.0</v>
      </c>
      <c r="W5" s="64">
        <v>10.0</v>
      </c>
      <c r="X5" s="63">
        <v>10.0</v>
      </c>
      <c r="Y5" s="63">
        <v>132.0</v>
      </c>
      <c r="Z5" s="63">
        <v>132.0</v>
      </c>
      <c r="AA5" s="63">
        <v>4.0</v>
      </c>
      <c r="AB5" s="63">
        <v>3.0</v>
      </c>
      <c r="AE5" s="63">
        <v>124.0</v>
      </c>
      <c r="AG5" s="63">
        <v>123.0</v>
      </c>
      <c r="AL5" s="63">
        <v>3.0</v>
      </c>
      <c r="AP5" s="63">
        <v>3.0</v>
      </c>
      <c r="AQ5" s="63">
        <v>3.0</v>
      </c>
      <c r="AR5" s="63">
        <v>7.0</v>
      </c>
      <c r="AS5" s="63">
        <f t="shared" si="1"/>
        <v>575</v>
      </c>
      <c r="AT5" s="63">
        <f t="shared" si="2"/>
        <v>177</v>
      </c>
      <c r="AU5" s="63">
        <f t="shared" si="3"/>
        <v>26</v>
      </c>
      <c r="AV5" s="63">
        <f t="shared" si="4"/>
        <v>398</v>
      </c>
      <c r="AW5" s="63">
        <f t="shared" si="5"/>
        <v>372</v>
      </c>
      <c r="AX5" s="67">
        <f t="shared" si="6"/>
        <v>0.00357664795</v>
      </c>
      <c r="AY5" s="63">
        <v>104008.0</v>
      </c>
    </row>
    <row r="6">
      <c r="A6" s="63" t="s">
        <v>934</v>
      </c>
      <c r="B6" s="63" t="s">
        <v>935</v>
      </c>
      <c r="C6" s="63" t="s">
        <v>936</v>
      </c>
      <c r="D6" s="63">
        <v>80113.0</v>
      </c>
      <c r="E6" s="63" t="s">
        <v>350</v>
      </c>
      <c r="F6" s="63">
        <v>59.0</v>
      </c>
      <c r="H6" s="63">
        <v>59.0</v>
      </c>
      <c r="N6" s="63">
        <v>1.0</v>
      </c>
      <c r="P6" s="63">
        <v>58.0</v>
      </c>
      <c r="W6" s="64"/>
      <c r="Y6" s="63">
        <v>78.0</v>
      </c>
      <c r="Z6" s="63">
        <v>7.0</v>
      </c>
      <c r="AA6" s="63">
        <v>78.0</v>
      </c>
      <c r="AG6" s="63">
        <v>7.0</v>
      </c>
      <c r="AI6" s="63">
        <v>71.0</v>
      </c>
      <c r="AL6" s="63">
        <v>1.0</v>
      </c>
      <c r="AQ6" s="63">
        <v>2.0</v>
      </c>
      <c r="AR6" s="63">
        <v>18.0</v>
      </c>
      <c r="AS6" s="63">
        <f t="shared" si="1"/>
        <v>281</v>
      </c>
      <c r="AT6" s="63">
        <f t="shared" si="2"/>
        <v>138</v>
      </c>
      <c r="AU6" s="63">
        <f t="shared" si="3"/>
        <v>2</v>
      </c>
      <c r="AV6" s="63">
        <f t="shared" si="4"/>
        <v>143</v>
      </c>
      <c r="AW6" s="63">
        <f t="shared" si="5"/>
        <v>141</v>
      </c>
      <c r="AX6" s="67">
        <f t="shared" si="6"/>
        <v>0.001355664949</v>
      </c>
      <c r="AY6" s="63">
        <v>104008.0</v>
      </c>
    </row>
    <row r="7">
      <c r="A7" s="63" t="s">
        <v>351</v>
      </c>
      <c r="B7" s="63" t="s">
        <v>352</v>
      </c>
      <c r="C7" s="63" t="s">
        <v>353</v>
      </c>
      <c r="D7" s="63">
        <v>80909.0</v>
      </c>
      <c r="E7" s="63" t="s">
        <v>243</v>
      </c>
      <c r="F7" s="63">
        <v>70.0</v>
      </c>
      <c r="G7" s="63">
        <v>53.0</v>
      </c>
      <c r="I7" s="63">
        <v>4.0</v>
      </c>
      <c r="K7" s="63">
        <v>5.0</v>
      </c>
      <c r="L7" s="63">
        <v>61.0</v>
      </c>
      <c r="N7" s="63">
        <v>48.0</v>
      </c>
      <c r="W7" s="64">
        <v>22.0</v>
      </c>
      <c r="X7" s="63">
        <v>18.0</v>
      </c>
      <c r="Y7" s="63">
        <v>65.0</v>
      </c>
      <c r="Z7" s="63">
        <v>14.0</v>
      </c>
      <c r="AB7" s="63">
        <v>3.0</v>
      </c>
      <c r="AE7" s="63">
        <v>18.0</v>
      </c>
      <c r="AG7" s="63">
        <v>62.0</v>
      </c>
      <c r="AL7" s="63">
        <v>2.0</v>
      </c>
      <c r="AP7" s="63">
        <v>3.0</v>
      </c>
      <c r="AQ7" s="63">
        <v>1.0</v>
      </c>
      <c r="AR7" s="63">
        <v>9.0</v>
      </c>
      <c r="AS7" s="63">
        <f t="shared" si="1"/>
        <v>293</v>
      </c>
      <c r="AT7" s="63">
        <f t="shared" si="2"/>
        <v>112</v>
      </c>
      <c r="AU7" s="63">
        <f t="shared" si="3"/>
        <v>44</v>
      </c>
      <c r="AV7" s="63">
        <f t="shared" si="4"/>
        <v>181</v>
      </c>
      <c r="AW7" s="63">
        <f t="shared" si="5"/>
        <v>137</v>
      </c>
      <c r="AX7" s="67">
        <f t="shared" si="6"/>
        <v>0.001317206369</v>
      </c>
      <c r="AY7" s="63">
        <v>104008.0</v>
      </c>
    </row>
    <row r="8">
      <c r="A8" s="63" t="s">
        <v>588</v>
      </c>
      <c r="B8" s="63" t="s">
        <v>589</v>
      </c>
      <c r="C8" s="63" t="s">
        <v>590</v>
      </c>
      <c r="D8" s="63">
        <v>80621.0</v>
      </c>
      <c r="E8" s="63" t="s">
        <v>258</v>
      </c>
      <c r="F8" s="63">
        <v>89.0</v>
      </c>
      <c r="H8" s="63">
        <v>89.0</v>
      </c>
      <c r="N8" s="63">
        <v>3.0</v>
      </c>
      <c r="O8" s="63">
        <v>70.0</v>
      </c>
      <c r="P8" s="63">
        <v>16.0</v>
      </c>
      <c r="W8" s="64"/>
      <c r="AA8" s="63">
        <v>1.0</v>
      </c>
      <c r="AI8" s="63">
        <v>1.0</v>
      </c>
      <c r="AP8" s="63">
        <v>1.0</v>
      </c>
      <c r="AR8" s="63">
        <v>2.4</v>
      </c>
      <c r="AS8" s="63">
        <f t="shared" si="1"/>
        <v>179</v>
      </c>
      <c r="AT8" s="63">
        <f t="shared" si="2"/>
        <v>90</v>
      </c>
      <c r="AU8" s="63">
        <f t="shared" si="3"/>
        <v>1</v>
      </c>
      <c r="AV8" s="63">
        <f t="shared" si="4"/>
        <v>89</v>
      </c>
      <c r="AW8" s="63">
        <f t="shared" si="5"/>
        <v>88</v>
      </c>
      <c r="AX8" s="67">
        <f t="shared" si="6"/>
        <v>0.0008460887624</v>
      </c>
      <c r="AY8" s="63">
        <v>104008.0</v>
      </c>
    </row>
    <row r="9">
      <c r="A9" s="63" t="s">
        <v>783</v>
      </c>
      <c r="B9" s="63" t="s">
        <v>784</v>
      </c>
      <c r="C9" s="63" t="s">
        <v>785</v>
      </c>
      <c r="D9" s="63">
        <v>80011.0</v>
      </c>
      <c r="E9" s="63" t="s">
        <v>350</v>
      </c>
      <c r="F9" s="63">
        <v>8.0</v>
      </c>
      <c r="G9" s="63">
        <v>8.0</v>
      </c>
      <c r="H9" s="63">
        <v>1.0</v>
      </c>
      <c r="I9" s="63">
        <v>4.0</v>
      </c>
      <c r="K9" s="63">
        <v>2.0</v>
      </c>
      <c r="L9" s="63">
        <v>65.0</v>
      </c>
      <c r="P9" s="63">
        <v>1.0</v>
      </c>
      <c r="W9" s="64">
        <v>7.0</v>
      </c>
      <c r="X9" s="63">
        <v>7.0</v>
      </c>
      <c r="AE9" s="63">
        <v>26.0</v>
      </c>
      <c r="AG9" s="63">
        <v>26.0</v>
      </c>
      <c r="AR9" s="63">
        <v>16.0</v>
      </c>
      <c r="AS9" s="63">
        <f t="shared" si="1"/>
        <v>114</v>
      </c>
      <c r="AT9" s="63">
        <f t="shared" si="2"/>
        <v>27</v>
      </c>
      <c r="AU9" s="63">
        <f t="shared" si="3"/>
        <v>14</v>
      </c>
      <c r="AV9" s="63">
        <f t="shared" si="4"/>
        <v>87</v>
      </c>
      <c r="AW9" s="63">
        <f t="shared" si="5"/>
        <v>73</v>
      </c>
      <c r="AX9" s="67">
        <f t="shared" si="6"/>
        <v>0.000701869087</v>
      </c>
      <c r="AY9" s="63">
        <v>104008.0</v>
      </c>
    </row>
    <row r="10">
      <c r="A10" s="63" t="s">
        <v>288</v>
      </c>
      <c r="B10" s="63" t="s">
        <v>289</v>
      </c>
      <c r="C10" s="63" t="s">
        <v>290</v>
      </c>
      <c r="D10" s="63">
        <v>81242.0</v>
      </c>
      <c r="E10" s="63" t="s">
        <v>291</v>
      </c>
      <c r="F10" s="63">
        <v>1.0</v>
      </c>
      <c r="H10" s="63">
        <v>124.0</v>
      </c>
      <c r="I10" s="63">
        <v>37.0</v>
      </c>
      <c r="N10" s="63">
        <v>4.0</v>
      </c>
      <c r="O10" s="63">
        <v>92.0</v>
      </c>
      <c r="P10" s="63">
        <v>2.0</v>
      </c>
      <c r="W10" s="64"/>
      <c r="AA10" s="63">
        <v>8.0</v>
      </c>
      <c r="AB10" s="63">
        <v>1.0</v>
      </c>
      <c r="AL10" s="63">
        <v>2.0</v>
      </c>
      <c r="AR10" s="63">
        <v>0.5</v>
      </c>
      <c r="AS10" s="63">
        <f t="shared" si="1"/>
        <v>171</v>
      </c>
      <c r="AT10" s="63">
        <f t="shared" si="2"/>
        <v>100</v>
      </c>
      <c r="AU10" s="63">
        <f t="shared" si="3"/>
        <v>0</v>
      </c>
      <c r="AV10" s="63">
        <f t="shared" si="4"/>
        <v>71</v>
      </c>
      <c r="AW10" s="63">
        <f t="shared" si="5"/>
        <v>71</v>
      </c>
      <c r="AX10" s="67">
        <f t="shared" si="6"/>
        <v>0.0006826397969</v>
      </c>
      <c r="AY10" s="63">
        <v>104008.0</v>
      </c>
    </row>
    <row r="11">
      <c r="A11" s="64" t="s">
        <v>533</v>
      </c>
      <c r="B11" s="64" t="s">
        <v>534</v>
      </c>
      <c r="C11" s="64" t="s">
        <v>535</v>
      </c>
      <c r="D11" s="64">
        <v>80231.0</v>
      </c>
      <c r="E11" s="64" t="s">
        <v>421</v>
      </c>
      <c r="F11" s="64">
        <v>100.0</v>
      </c>
      <c r="G11" s="64">
        <v>20.0</v>
      </c>
      <c r="H11" s="64">
        <v>1226.0</v>
      </c>
      <c r="I11" s="64">
        <v>3639.0</v>
      </c>
      <c r="J11" s="64">
        <v>1465.0</v>
      </c>
      <c r="K11" s="64">
        <v>1170.0</v>
      </c>
      <c r="L11" s="64">
        <v>350.0</v>
      </c>
      <c r="M11" s="64">
        <v>11.0</v>
      </c>
      <c r="N11" s="64">
        <v>4239.0</v>
      </c>
      <c r="O11" s="64">
        <v>630.0</v>
      </c>
      <c r="P11" s="64">
        <v>711.0</v>
      </c>
      <c r="Q11" s="64">
        <v>3.0</v>
      </c>
      <c r="R11" s="64"/>
      <c r="S11" s="64">
        <v>11.0</v>
      </c>
      <c r="T11" s="64"/>
      <c r="U11" s="64">
        <v>611.0</v>
      </c>
      <c r="V11" s="64">
        <v>1465.0</v>
      </c>
      <c r="W11" s="64">
        <v>161.0</v>
      </c>
      <c r="X11" s="64">
        <v>161.0</v>
      </c>
      <c r="Y11" s="64">
        <v>7.0</v>
      </c>
      <c r="Z11" s="64">
        <v>39.0</v>
      </c>
      <c r="AA11" s="64">
        <v>149.0</v>
      </c>
      <c r="AB11" s="64">
        <v>264.0</v>
      </c>
      <c r="AC11" s="64">
        <v>7.0</v>
      </c>
      <c r="AD11" s="64">
        <v>222.0</v>
      </c>
      <c r="AE11" s="64">
        <v>172.0</v>
      </c>
      <c r="AF11" s="64">
        <v>12.0</v>
      </c>
      <c r="AG11" s="64">
        <v>593.0</v>
      </c>
      <c r="AH11" s="64">
        <v>13.0</v>
      </c>
      <c r="AI11" s="64">
        <v>53.0</v>
      </c>
      <c r="AJ11" s="64"/>
      <c r="AK11" s="64"/>
      <c r="AL11" s="64">
        <v>23.0</v>
      </c>
      <c r="AM11" s="64"/>
      <c r="AN11" s="64">
        <v>49.0</v>
      </c>
      <c r="AO11" s="64">
        <v>7.0</v>
      </c>
      <c r="AP11" s="64">
        <v>35.0</v>
      </c>
      <c r="AQ11" s="64">
        <v>18.0</v>
      </c>
      <c r="AR11" s="64">
        <v>4.35</v>
      </c>
      <c r="AS11" s="64">
        <f t="shared" si="1"/>
        <v>8853</v>
      </c>
      <c r="AT11" s="64">
        <f t="shared" si="2"/>
        <v>8408</v>
      </c>
      <c r="AU11" s="64">
        <f t="shared" si="3"/>
        <v>375</v>
      </c>
      <c r="AV11" s="64">
        <f t="shared" si="4"/>
        <v>445</v>
      </c>
      <c r="AW11" s="64">
        <f t="shared" si="5"/>
        <v>70</v>
      </c>
      <c r="AX11" s="67">
        <f t="shared" si="6"/>
        <v>0.0006730251519</v>
      </c>
      <c r="AY11" s="63">
        <v>104008.0</v>
      </c>
    </row>
    <row r="12">
      <c r="A12" s="63" t="s">
        <v>823</v>
      </c>
      <c r="B12" s="63" t="s">
        <v>824</v>
      </c>
      <c r="C12" s="63" t="s">
        <v>825</v>
      </c>
      <c r="D12" s="63">
        <v>80206.0</v>
      </c>
      <c r="E12" s="63" t="s">
        <v>421</v>
      </c>
      <c r="F12" s="63">
        <v>33.0</v>
      </c>
      <c r="G12" s="63">
        <v>33.0</v>
      </c>
      <c r="H12" s="63">
        <v>1.0</v>
      </c>
      <c r="I12" s="63">
        <v>11.0</v>
      </c>
      <c r="K12" s="63">
        <v>178.0</v>
      </c>
      <c r="L12" s="63">
        <v>58.0</v>
      </c>
      <c r="N12" s="63">
        <v>211.0</v>
      </c>
      <c r="O12" s="63">
        <v>1.0</v>
      </c>
      <c r="P12" s="63">
        <v>3.0</v>
      </c>
      <c r="S12" s="63">
        <v>1.0</v>
      </c>
      <c r="U12" s="63">
        <v>2.0</v>
      </c>
      <c r="W12" s="64">
        <v>18.0</v>
      </c>
      <c r="X12" s="63">
        <v>18.0</v>
      </c>
      <c r="Y12" s="63">
        <v>6.0</v>
      </c>
      <c r="Z12" s="63">
        <v>6.0</v>
      </c>
      <c r="AD12" s="63">
        <v>41.0</v>
      </c>
      <c r="AE12" s="63">
        <v>15.0</v>
      </c>
      <c r="AG12" s="63">
        <v>54.0</v>
      </c>
      <c r="AP12" s="63">
        <v>2.0</v>
      </c>
      <c r="AQ12" s="63">
        <v>2.0</v>
      </c>
      <c r="AR12" s="63">
        <v>35.0</v>
      </c>
      <c r="AS12" s="63">
        <f t="shared" si="1"/>
        <v>382</v>
      </c>
      <c r="AT12" s="63">
        <f t="shared" si="2"/>
        <v>272</v>
      </c>
      <c r="AU12" s="63">
        <f t="shared" si="3"/>
        <v>40</v>
      </c>
      <c r="AV12" s="63">
        <f t="shared" si="4"/>
        <v>110</v>
      </c>
      <c r="AW12" s="63">
        <f t="shared" si="5"/>
        <v>70</v>
      </c>
      <c r="AX12" s="67">
        <f t="shared" si="6"/>
        <v>0.0006730251519</v>
      </c>
      <c r="AY12" s="63">
        <v>104008.0</v>
      </c>
    </row>
    <row r="13">
      <c r="A13" s="63" t="s">
        <v>280</v>
      </c>
      <c r="B13" s="63" t="s">
        <v>281</v>
      </c>
      <c r="C13" s="63" t="s">
        <v>282</v>
      </c>
      <c r="D13" s="63">
        <v>80424.0</v>
      </c>
      <c r="E13" s="63" t="s">
        <v>283</v>
      </c>
      <c r="F13" s="63">
        <v>46.0</v>
      </c>
      <c r="G13" s="63">
        <v>46.0</v>
      </c>
      <c r="H13" s="63">
        <v>9.0</v>
      </c>
      <c r="I13" s="63">
        <v>2.0</v>
      </c>
      <c r="K13" s="63">
        <v>45.0</v>
      </c>
      <c r="L13" s="63">
        <v>166.0</v>
      </c>
      <c r="M13" s="63">
        <v>28.0</v>
      </c>
      <c r="N13" s="63">
        <v>242.0</v>
      </c>
      <c r="P13" s="63">
        <v>2.0</v>
      </c>
      <c r="S13" s="63">
        <v>6.0</v>
      </c>
      <c r="W13" s="64">
        <v>47.0</v>
      </c>
      <c r="X13" s="63">
        <v>47.0</v>
      </c>
      <c r="Y13" s="63">
        <v>20.0</v>
      </c>
      <c r="Z13" s="63">
        <v>20.0</v>
      </c>
      <c r="AD13" s="63">
        <v>10.0</v>
      </c>
      <c r="AE13" s="63">
        <v>63.0</v>
      </c>
      <c r="AF13" s="63">
        <v>60.0</v>
      </c>
      <c r="AG13" s="63">
        <v>58.0</v>
      </c>
      <c r="AL13" s="63">
        <v>16.0</v>
      </c>
      <c r="AP13" s="63">
        <v>20.0</v>
      </c>
      <c r="AQ13" s="63">
        <v>20.0</v>
      </c>
      <c r="AR13" s="63">
        <v>36.0</v>
      </c>
      <c r="AS13" s="63">
        <f t="shared" si="1"/>
        <v>515</v>
      </c>
      <c r="AT13" s="63">
        <f t="shared" si="2"/>
        <v>324</v>
      </c>
      <c r="AU13" s="63">
        <f t="shared" si="3"/>
        <v>134</v>
      </c>
      <c r="AV13" s="63">
        <f t="shared" si="4"/>
        <v>191</v>
      </c>
      <c r="AW13" s="63">
        <f t="shared" si="5"/>
        <v>57</v>
      </c>
      <c r="AX13" s="67">
        <f t="shared" si="6"/>
        <v>0.0005480347666</v>
      </c>
      <c r="AY13" s="63">
        <v>104008.0</v>
      </c>
    </row>
    <row r="14">
      <c r="A14" s="63" t="s">
        <v>853</v>
      </c>
      <c r="B14" s="63" t="s">
        <v>854</v>
      </c>
      <c r="C14" s="63" t="s">
        <v>855</v>
      </c>
      <c r="D14" s="63">
        <v>81623.0</v>
      </c>
      <c r="E14" s="63" t="s">
        <v>425</v>
      </c>
      <c r="F14" s="63">
        <v>41.0</v>
      </c>
      <c r="H14" s="63">
        <v>41.0</v>
      </c>
      <c r="M14" s="63">
        <v>3.0</v>
      </c>
      <c r="N14" s="63">
        <v>7.0</v>
      </c>
      <c r="O14" s="63">
        <v>30.0</v>
      </c>
      <c r="P14" s="63">
        <v>3.0</v>
      </c>
      <c r="V14" s="63">
        <v>1.0</v>
      </c>
      <c r="W14" s="64"/>
      <c r="AS14" s="63">
        <f t="shared" si="1"/>
        <v>85</v>
      </c>
      <c r="AT14" s="63">
        <f t="shared" si="2"/>
        <v>41</v>
      </c>
      <c r="AU14" s="63">
        <f t="shared" si="3"/>
        <v>0</v>
      </c>
      <c r="AV14" s="63">
        <f t="shared" si="4"/>
        <v>44</v>
      </c>
      <c r="AW14" s="63">
        <f t="shared" si="5"/>
        <v>44</v>
      </c>
      <c r="AX14" s="67">
        <f t="shared" si="6"/>
        <v>0.0004230443812</v>
      </c>
      <c r="AY14" s="63">
        <v>104008.0</v>
      </c>
    </row>
    <row r="15">
      <c r="A15" s="63" t="s">
        <v>719</v>
      </c>
      <c r="B15" s="63" t="s">
        <v>720</v>
      </c>
      <c r="C15" s="63" t="s">
        <v>721</v>
      </c>
      <c r="D15" s="63">
        <v>80602.0</v>
      </c>
      <c r="E15" s="63" t="s">
        <v>250</v>
      </c>
      <c r="F15" s="63">
        <v>23.0</v>
      </c>
      <c r="K15" s="63">
        <v>11.0</v>
      </c>
      <c r="L15" s="63">
        <v>30.0</v>
      </c>
      <c r="N15" s="63">
        <v>40.0</v>
      </c>
      <c r="W15" s="64">
        <v>1.0</v>
      </c>
      <c r="Y15" s="63">
        <v>21.0</v>
      </c>
      <c r="AD15" s="63">
        <v>194.0</v>
      </c>
      <c r="AE15" s="63">
        <v>1120.0</v>
      </c>
      <c r="AG15" s="63">
        <v>1266.0</v>
      </c>
      <c r="AL15" s="63">
        <v>14.0</v>
      </c>
      <c r="AM15" s="63">
        <v>1.0</v>
      </c>
      <c r="AP15" s="63">
        <v>35.0</v>
      </c>
      <c r="AR15" s="63">
        <v>11.2</v>
      </c>
      <c r="AS15" s="63">
        <f t="shared" si="1"/>
        <v>1399</v>
      </c>
      <c r="AT15" s="63">
        <f t="shared" si="2"/>
        <v>1321</v>
      </c>
      <c r="AU15" s="63">
        <f t="shared" si="3"/>
        <v>36</v>
      </c>
      <c r="AV15" s="63">
        <f t="shared" si="4"/>
        <v>78</v>
      </c>
      <c r="AW15" s="63">
        <f t="shared" si="5"/>
        <v>42</v>
      </c>
      <c r="AX15" s="67">
        <f t="shared" si="6"/>
        <v>0.0004038150911</v>
      </c>
      <c r="AY15" s="63">
        <v>104008.0</v>
      </c>
    </row>
    <row r="16">
      <c r="A16" s="63" t="s">
        <v>756</v>
      </c>
      <c r="B16" s="63" t="s">
        <v>757</v>
      </c>
      <c r="C16" s="63" t="s">
        <v>758</v>
      </c>
      <c r="D16" s="63">
        <v>81527.0</v>
      </c>
      <c r="E16" s="63" t="s">
        <v>417</v>
      </c>
      <c r="F16" s="63">
        <v>58.0</v>
      </c>
      <c r="H16" s="63">
        <v>1371.0</v>
      </c>
      <c r="I16" s="63">
        <v>304.0</v>
      </c>
      <c r="J16" s="63">
        <v>109.0</v>
      </c>
      <c r="K16" s="63">
        <v>76.0</v>
      </c>
      <c r="N16" s="63">
        <v>151.0</v>
      </c>
      <c r="O16" s="63">
        <v>909.0</v>
      </c>
      <c r="P16" s="63">
        <v>438.0</v>
      </c>
      <c r="S16" s="63">
        <v>4.0</v>
      </c>
      <c r="T16" s="63">
        <v>2.0</v>
      </c>
      <c r="U16" s="63">
        <v>225.0</v>
      </c>
      <c r="V16" s="63">
        <v>109.0</v>
      </c>
      <c r="W16" s="64">
        <v>55.0</v>
      </c>
      <c r="AA16" s="63">
        <v>91.0</v>
      </c>
      <c r="AB16" s="63">
        <v>29.0</v>
      </c>
      <c r="AD16" s="63">
        <v>8.0</v>
      </c>
      <c r="AG16" s="63">
        <v>25.0</v>
      </c>
      <c r="AH16" s="63">
        <v>28.0</v>
      </c>
      <c r="AI16" s="63">
        <v>48.0</v>
      </c>
      <c r="AL16" s="63">
        <v>1.0</v>
      </c>
      <c r="AN16" s="63">
        <v>2.0</v>
      </c>
      <c r="AP16" s="63">
        <v>11.0</v>
      </c>
      <c r="AR16" s="63">
        <v>13.3</v>
      </c>
      <c r="AS16" s="63">
        <f t="shared" si="1"/>
        <v>2046</v>
      </c>
      <c r="AT16" s="63">
        <f t="shared" si="2"/>
        <v>1942</v>
      </c>
      <c r="AU16" s="63">
        <f t="shared" si="3"/>
        <v>66</v>
      </c>
      <c r="AV16" s="63">
        <f t="shared" si="4"/>
        <v>104</v>
      </c>
      <c r="AW16" s="63">
        <f t="shared" si="5"/>
        <v>38</v>
      </c>
      <c r="AX16" s="67">
        <f t="shared" si="6"/>
        <v>0.000365356511</v>
      </c>
      <c r="AY16" s="63">
        <v>104008.0</v>
      </c>
    </row>
    <row r="17">
      <c r="A17" s="63" t="s">
        <v>905</v>
      </c>
      <c r="B17" s="63" t="s">
        <v>906</v>
      </c>
      <c r="C17" s="63" t="s">
        <v>907</v>
      </c>
      <c r="D17" s="63">
        <v>81323.0</v>
      </c>
      <c r="E17" s="63" t="s">
        <v>380</v>
      </c>
      <c r="W17" s="64"/>
      <c r="Z17" s="63">
        <v>37.0</v>
      </c>
      <c r="AA17" s="63">
        <v>20.0</v>
      </c>
      <c r="AB17" s="63">
        <v>15.0</v>
      </c>
      <c r="AD17" s="63">
        <v>1.0</v>
      </c>
      <c r="AE17" s="63">
        <v>1.0</v>
      </c>
      <c r="AF17" s="63">
        <v>1.0</v>
      </c>
      <c r="AG17" s="63">
        <v>2.0</v>
      </c>
      <c r="AI17" s="63">
        <v>33.0</v>
      </c>
      <c r="AL17" s="63">
        <v>1.0</v>
      </c>
      <c r="AN17" s="63">
        <v>1.0</v>
      </c>
      <c r="AR17" s="63">
        <v>10.0</v>
      </c>
      <c r="AS17" s="63">
        <f t="shared" si="1"/>
        <v>75</v>
      </c>
      <c r="AT17" s="63">
        <f t="shared" si="2"/>
        <v>37</v>
      </c>
      <c r="AU17" s="63">
        <f t="shared" si="3"/>
        <v>0</v>
      </c>
      <c r="AV17" s="63">
        <f t="shared" si="4"/>
        <v>38</v>
      </c>
      <c r="AW17" s="63">
        <f t="shared" si="5"/>
        <v>38</v>
      </c>
      <c r="AX17" s="67">
        <f t="shared" si="6"/>
        <v>0.000365356511</v>
      </c>
      <c r="AY17" s="63">
        <v>104008.0</v>
      </c>
    </row>
    <row r="18">
      <c r="A18" s="63" t="s">
        <v>317</v>
      </c>
      <c r="B18" s="63" t="s">
        <v>318</v>
      </c>
      <c r="C18" s="63" t="s">
        <v>319</v>
      </c>
      <c r="D18" s="63">
        <v>80118.0</v>
      </c>
      <c r="E18" s="63" t="s">
        <v>235</v>
      </c>
      <c r="F18" s="63">
        <v>30.0</v>
      </c>
      <c r="G18" s="63">
        <v>30.0</v>
      </c>
      <c r="H18" s="63">
        <v>13.0</v>
      </c>
      <c r="I18" s="63">
        <v>168.0</v>
      </c>
      <c r="K18" s="63">
        <v>41.0</v>
      </c>
      <c r="L18" s="63">
        <v>76.0</v>
      </c>
      <c r="N18" s="63">
        <v>265.0</v>
      </c>
      <c r="S18" s="63">
        <v>1.0</v>
      </c>
      <c r="U18" s="63">
        <v>9.0</v>
      </c>
      <c r="W18" s="64">
        <v>23.0</v>
      </c>
      <c r="X18" s="63">
        <v>23.0</v>
      </c>
      <c r="AB18" s="63">
        <v>28.0</v>
      </c>
      <c r="AE18" s="63">
        <v>8.0</v>
      </c>
      <c r="AG18" s="63">
        <v>36.0</v>
      </c>
      <c r="AR18" s="63">
        <v>46.0</v>
      </c>
      <c r="AS18" s="63">
        <f t="shared" si="1"/>
        <v>394</v>
      </c>
      <c r="AT18" s="63">
        <f t="shared" si="2"/>
        <v>311</v>
      </c>
      <c r="AU18" s="63">
        <f t="shared" si="3"/>
        <v>46</v>
      </c>
      <c r="AV18" s="63">
        <f t="shared" si="4"/>
        <v>83</v>
      </c>
      <c r="AW18" s="63">
        <f t="shared" si="5"/>
        <v>37</v>
      </c>
      <c r="AX18" s="67">
        <f t="shared" si="6"/>
        <v>0.000355741866</v>
      </c>
      <c r="AY18" s="63">
        <v>104008.0</v>
      </c>
    </row>
    <row r="19">
      <c r="A19" s="63" t="s">
        <v>780</v>
      </c>
      <c r="B19" s="63" t="s">
        <v>781</v>
      </c>
      <c r="C19" s="63" t="s">
        <v>782</v>
      </c>
      <c r="D19" s="63">
        <v>80446.0</v>
      </c>
      <c r="E19" s="63" t="s">
        <v>612</v>
      </c>
      <c r="G19" s="63">
        <v>27.0</v>
      </c>
      <c r="I19" s="63">
        <v>1.0</v>
      </c>
      <c r="K19" s="63">
        <v>14.0</v>
      </c>
      <c r="L19" s="63">
        <v>133.0</v>
      </c>
      <c r="M19" s="63">
        <v>11.0</v>
      </c>
      <c r="N19" s="63">
        <v>145.0</v>
      </c>
      <c r="P19" s="63">
        <v>3.0</v>
      </c>
      <c r="S19" s="63">
        <v>2.0</v>
      </c>
      <c r="W19" s="64"/>
      <c r="X19" s="63">
        <v>9.0</v>
      </c>
      <c r="Z19" s="63">
        <v>7.0</v>
      </c>
      <c r="AE19" s="63">
        <v>120.0</v>
      </c>
      <c r="AG19" s="63">
        <v>120.0</v>
      </c>
      <c r="AR19" s="63">
        <v>19.0</v>
      </c>
      <c r="AS19" s="63">
        <f t="shared" si="1"/>
        <v>313</v>
      </c>
      <c r="AT19" s="63">
        <f t="shared" si="2"/>
        <v>270</v>
      </c>
      <c r="AU19" s="63">
        <f t="shared" si="3"/>
        <v>9</v>
      </c>
      <c r="AV19" s="63">
        <f t="shared" si="4"/>
        <v>43</v>
      </c>
      <c r="AW19" s="63">
        <f t="shared" si="5"/>
        <v>34</v>
      </c>
      <c r="AX19" s="67">
        <f t="shared" si="6"/>
        <v>0.0003268979309</v>
      </c>
      <c r="AY19" s="63">
        <v>104008.0</v>
      </c>
    </row>
    <row r="20">
      <c r="A20" s="63" t="s">
        <v>314</v>
      </c>
      <c r="B20" s="63" t="s">
        <v>315</v>
      </c>
      <c r="C20" s="63" t="s">
        <v>316</v>
      </c>
      <c r="D20" s="63">
        <v>80550.0</v>
      </c>
      <c r="E20" s="63" t="s">
        <v>258</v>
      </c>
      <c r="F20" s="63">
        <v>24.0</v>
      </c>
      <c r="G20" s="63">
        <v>7.0</v>
      </c>
      <c r="H20" s="63">
        <v>3.0</v>
      </c>
      <c r="I20" s="63">
        <v>52.0</v>
      </c>
      <c r="K20" s="63">
        <v>15.0</v>
      </c>
      <c r="L20" s="63">
        <v>429.0</v>
      </c>
      <c r="N20" s="63">
        <v>441.0</v>
      </c>
      <c r="P20" s="63">
        <v>1.0</v>
      </c>
      <c r="S20" s="63">
        <v>5.0</v>
      </c>
      <c r="U20" s="63">
        <v>10.0</v>
      </c>
      <c r="W20" s="64">
        <v>27.0</v>
      </c>
      <c r="X20" s="63">
        <v>22.0</v>
      </c>
      <c r="Z20" s="63">
        <v>8.0</v>
      </c>
      <c r="AB20" s="63">
        <v>3.0</v>
      </c>
      <c r="AD20" s="63">
        <v>11.0</v>
      </c>
      <c r="AE20" s="63">
        <v>132.0</v>
      </c>
      <c r="AG20" s="63">
        <v>131.0</v>
      </c>
      <c r="AN20" s="63">
        <v>5.0</v>
      </c>
      <c r="AP20" s="63">
        <v>1.0</v>
      </c>
      <c r="AQ20" s="63">
        <v>9.0</v>
      </c>
      <c r="AR20" s="63">
        <v>27.0</v>
      </c>
      <c r="AS20" s="63">
        <f t="shared" si="1"/>
        <v>684</v>
      </c>
      <c r="AT20" s="63">
        <f t="shared" si="2"/>
        <v>593</v>
      </c>
      <c r="AU20" s="63">
        <f t="shared" si="3"/>
        <v>59</v>
      </c>
      <c r="AV20" s="63">
        <f t="shared" si="4"/>
        <v>91</v>
      </c>
      <c r="AW20" s="63">
        <f t="shared" si="5"/>
        <v>32</v>
      </c>
      <c r="AX20" s="67">
        <f t="shared" si="6"/>
        <v>0.0003076686409</v>
      </c>
      <c r="AY20" s="63">
        <v>104008.0</v>
      </c>
    </row>
    <row r="21" ht="15.75" customHeight="1">
      <c r="A21" s="63" t="s">
        <v>255</v>
      </c>
      <c r="B21" s="63" t="s">
        <v>256</v>
      </c>
      <c r="C21" s="63" t="s">
        <v>257</v>
      </c>
      <c r="D21" s="63">
        <v>80526.0</v>
      </c>
      <c r="E21" s="63" t="s">
        <v>258</v>
      </c>
      <c r="W21" s="64"/>
      <c r="Z21" s="63">
        <v>37.0</v>
      </c>
      <c r="AB21" s="63">
        <v>9.0</v>
      </c>
      <c r="AD21" s="63">
        <v>15.0</v>
      </c>
      <c r="AE21" s="63">
        <v>1445.0</v>
      </c>
      <c r="AG21" s="63">
        <v>1459.0</v>
      </c>
      <c r="AI21" s="63">
        <v>4.0</v>
      </c>
      <c r="AL21" s="63">
        <v>5.0</v>
      </c>
      <c r="AM21" s="63">
        <v>1.0</v>
      </c>
      <c r="AN21" s="63">
        <v>1.0</v>
      </c>
      <c r="AQ21" s="63">
        <v>7.0</v>
      </c>
      <c r="AR21" s="63">
        <v>7.0</v>
      </c>
      <c r="AS21" s="63">
        <f t="shared" si="1"/>
        <v>1506</v>
      </c>
      <c r="AT21" s="63">
        <f t="shared" si="2"/>
        <v>1470</v>
      </c>
      <c r="AU21" s="63">
        <f t="shared" si="3"/>
        <v>7</v>
      </c>
      <c r="AV21" s="63">
        <f t="shared" si="4"/>
        <v>36</v>
      </c>
      <c r="AW21" s="63">
        <f t="shared" si="5"/>
        <v>29</v>
      </c>
      <c r="AX21" s="67">
        <f t="shared" si="6"/>
        <v>0.0002788247058</v>
      </c>
      <c r="AY21" s="63">
        <v>104008.0</v>
      </c>
    </row>
    <row r="22" ht="15.75" customHeight="1">
      <c r="A22" s="63" t="s">
        <v>606</v>
      </c>
      <c r="B22" s="63" t="s">
        <v>607</v>
      </c>
      <c r="C22" s="63" t="s">
        <v>608</v>
      </c>
      <c r="D22" s="63">
        <v>81507.0</v>
      </c>
      <c r="E22" s="63" t="s">
        <v>417</v>
      </c>
      <c r="F22" s="63">
        <v>10.0</v>
      </c>
      <c r="G22" s="63">
        <v>6.0</v>
      </c>
      <c r="I22" s="63">
        <v>16.0</v>
      </c>
      <c r="K22" s="63">
        <v>29.0</v>
      </c>
      <c r="L22" s="63">
        <v>34.0</v>
      </c>
      <c r="M22" s="63">
        <v>5.0</v>
      </c>
      <c r="N22" s="63">
        <v>76.0</v>
      </c>
      <c r="W22" s="64">
        <v>8.0</v>
      </c>
      <c r="X22" s="63">
        <v>5.0</v>
      </c>
      <c r="Y22" s="63">
        <v>10.0</v>
      </c>
      <c r="Z22" s="63">
        <v>10.0</v>
      </c>
      <c r="AD22" s="63">
        <v>8.0</v>
      </c>
      <c r="AG22" s="63">
        <v>10.0</v>
      </c>
      <c r="AR22" s="63">
        <v>10.0</v>
      </c>
      <c r="AS22" s="63">
        <f t="shared" si="1"/>
        <v>128</v>
      </c>
      <c r="AT22" s="63">
        <f t="shared" si="2"/>
        <v>86</v>
      </c>
      <c r="AU22" s="63">
        <f t="shared" si="3"/>
        <v>13</v>
      </c>
      <c r="AV22" s="63">
        <f t="shared" si="4"/>
        <v>42</v>
      </c>
      <c r="AW22" s="63">
        <f t="shared" si="5"/>
        <v>29</v>
      </c>
      <c r="AX22" s="67">
        <f t="shared" si="6"/>
        <v>0.0002788247058</v>
      </c>
      <c r="AY22" s="63">
        <v>104008.0</v>
      </c>
    </row>
    <row r="23" ht="15.75" customHeight="1">
      <c r="A23" s="63" t="s">
        <v>983</v>
      </c>
      <c r="B23" s="63" t="s">
        <v>984</v>
      </c>
      <c r="C23" s="63" t="s">
        <v>985</v>
      </c>
      <c r="D23" s="63">
        <v>81324.0</v>
      </c>
      <c r="E23" s="63" t="s">
        <v>986</v>
      </c>
      <c r="H23" s="63">
        <v>27.0</v>
      </c>
      <c r="W23" s="64"/>
      <c r="AR23" s="63">
        <v>5.0</v>
      </c>
      <c r="AS23" s="63">
        <f t="shared" si="1"/>
        <v>27</v>
      </c>
      <c r="AT23" s="63">
        <f t="shared" si="2"/>
        <v>0</v>
      </c>
      <c r="AU23" s="63">
        <f t="shared" si="3"/>
        <v>0</v>
      </c>
      <c r="AV23" s="63">
        <f t="shared" si="4"/>
        <v>27</v>
      </c>
      <c r="AW23" s="63">
        <f t="shared" si="5"/>
        <v>27</v>
      </c>
      <c r="AX23" s="67">
        <f t="shared" si="6"/>
        <v>0.0002595954157</v>
      </c>
      <c r="AY23" s="63">
        <v>104008.0</v>
      </c>
    </row>
    <row r="24" ht="15.75" customHeight="1">
      <c r="A24" s="63" t="s">
        <v>771</v>
      </c>
      <c r="B24" s="63" t="s">
        <v>772</v>
      </c>
      <c r="C24" s="63" t="s">
        <v>773</v>
      </c>
      <c r="D24" s="63">
        <v>80022.0</v>
      </c>
      <c r="E24" s="63" t="s">
        <v>250</v>
      </c>
      <c r="F24" s="63">
        <v>27.0</v>
      </c>
      <c r="G24" s="63">
        <v>24.0</v>
      </c>
      <c r="H24" s="63">
        <v>1.0</v>
      </c>
      <c r="I24" s="63">
        <v>68.0</v>
      </c>
      <c r="K24" s="63">
        <v>34.0</v>
      </c>
      <c r="L24" s="63">
        <v>28.0</v>
      </c>
      <c r="M24" s="63">
        <v>3.0</v>
      </c>
      <c r="N24" s="63">
        <v>107.0</v>
      </c>
      <c r="S24" s="63">
        <v>1.0</v>
      </c>
      <c r="U24" s="63">
        <v>4.0</v>
      </c>
      <c r="W24" s="64">
        <v>24.0</v>
      </c>
      <c r="X24" s="63">
        <v>20.0</v>
      </c>
      <c r="Y24" s="63">
        <v>2.0</v>
      </c>
      <c r="Z24" s="63">
        <v>2.0</v>
      </c>
      <c r="AB24" s="63">
        <v>12.0</v>
      </c>
      <c r="AG24" s="63">
        <v>5.0</v>
      </c>
      <c r="AP24" s="63">
        <v>7.0</v>
      </c>
      <c r="AQ24" s="63">
        <v>7.0</v>
      </c>
      <c r="AR24" s="63">
        <v>120.0</v>
      </c>
      <c r="AS24" s="63">
        <f t="shared" si="1"/>
        <v>201</v>
      </c>
      <c r="AT24" s="63">
        <f t="shared" si="2"/>
        <v>117</v>
      </c>
      <c r="AU24" s="63">
        <f t="shared" si="3"/>
        <v>58</v>
      </c>
      <c r="AV24" s="63">
        <f t="shared" si="4"/>
        <v>84</v>
      </c>
      <c r="AW24" s="63">
        <f t="shared" si="5"/>
        <v>26</v>
      </c>
      <c r="AX24" s="67">
        <f t="shared" si="6"/>
        <v>0.0002499807707</v>
      </c>
      <c r="AY24" s="63">
        <v>104008.0</v>
      </c>
    </row>
    <row r="25" ht="15.75" customHeight="1">
      <c r="A25" s="63" t="s">
        <v>418</v>
      </c>
      <c r="B25" s="63" t="s">
        <v>419</v>
      </c>
      <c r="C25" s="63" t="s">
        <v>420</v>
      </c>
      <c r="D25" s="63">
        <v>80227.0</v>
      </c>
      <c r="E25" s="63" t="s">
        <v>421</v>
      </c>
      <c r="F25" s="63">
        <v>8.0</v>
      </c>
      <c r="G25" s="63">
        <v>8.0</v>
      </c>
      <c r="H25" s="63">
        <v>27.0</v>
      </c>
      <c r="I25" s="63">
        <v>11.0</v>
      </c>
      <c r="K25" s="63">
        <v>5.0</v>
      </c>
      <c r="L25" s="63">
        <v>11.0</v>
      </c>
      <c r="N25" s="63">
        <v>28.0</v>
      </c>
      <c r="O25" s="63">
        <v>1.0</v>
      </c>
      <c r="W25" s="64">
        <v>8.0</v>
      </c>
      <c r="X25" s="63">
        <v>8.0</v>
      </c>
      <c r="AS25" s="63">
        <f t="shared" si="1"/>
        <v>70</v>
      </c>
      <c r="AT25" s="63">
        <f t="shared" si="2"/>
        <v>29</v>
      </c>
      <c r="AU25" s="63">
        <f t="shared" si="3"/>
        <v>16</v>
      </c>
      <c r="AV25" s="63">
        <f t="shared" si="4"/>
        <v>41</v>
      </c>
      <c r="AW25" s="63">
        <f t="shared" si="5"/>
        <v>25</v>
      </c>
      <c r="AX25" s="67">
        <f t="shared" si="6"/>
        <v>0.0002403661257</v>
      </c>
      <c r="AY25" s="63">
        <v>104008.0</v>
      </c>
    </row>
    <row r="26" ht="15.75" customHeight="1">
      <c r="A26" s="63" t="s">
        <v>714</v>
      </c>
      <c r="B26" s="63" t="s">
        <v>715</v>
      </c>
      <c r="C26" s="63" t="s">
        <v>716</v>
      </c>
      <c r="D26" s="63">
        <v>80219.0</v>
      </c>
      <c r="E26" s="63" t="s">
        <v>421</v>
      </c>
      <c r="F26" s="63">
        <v>9.0</v>
      </c>
      <c r="G26" s="63">
        <v>9.0</v>
      </c>
      <c r="H26" s="63">
        <v>3.0</v>
      </c>
      <c r="I26" s="63">
        <v>13.0</v>
      </c>
      <c r="K26" s="63">
        <v>41.0</v>
      </c>
      <c r="L26" s="63">
        <v>146.0</v>
      </c>
      <c r="N26" s="63">
        <v>200.0</v>
      </c>
      <c r="P26" s="63">
        <v>3.0</v>
      </c>
      <c r="U26" s="63">
        <v>3.0</v>
      </c>
      <c r="W26" s="64">
        <v>6.0</v>
      </c>
      <c r="X26" s="63">
        <v>6.0</v>
      </c>
      <c r="Y26" s="63">
        <v>22.0</v>
      </c>
      <c r="Z26" s="63">
        <v>22.0</v>
      </c>
      <c r="AA26" s="63">
        <v>11.0</v>
      </c>
      <c r="AB26" s="63">
        <v>6.0</v>
      </c>
      <c r="AD26" s="63">
        <v>17.0</v>
      </c>
      <c r="AE26" s="63">
        <v>160.0</v>
      </c>
      <c r="AG26" s="63">
        <v>214.0</v>
      </c>
      <c r="AL26" s="63">
        <v>1.0</v>
      </c>
      <c r="AP26" s="63">
        <v>1.0</v>
      </c>
      <c r="AQ26" s="63">
        <v>1.0</v>
      </c>
      <c r="AR26" s="63">
        <v>29.0</v>
      </c>
      <c r="AS26" s="63">
        <f t="shared" si="1"/>
        <v>459</v>
      </c>
      <c r="AT26" s="63">
        <f t="shared" si="2"/>
        <v>421</v>
      </c>
      <c r="AU26" s="63">
        <f t="shared" si="3"/>
        <v>14</v>
      </c>
      <c r="AV26" s="63">
        <f t="shared" si="4"/>
        <v>38</v>
      </c>
      <c r="AW26" s="63">
        <f t="shared" si="5"/>
        <v>24</v>
      </c>
      <c r="AX26" s="67">
        <f t="shared" si="6"/>
        <v>0.0002307514807</v>
      </c>
      <c r="AY26" s="63">
        <v>104008.0</v>
      </c>
    </row>
    <row r="27" ht="15.75" customHeight="1">
      <c r="A27" s="63" t="s">
        <v>717</v>
      </c>
      <c r="B27" s="63" t="s">
        <v>715</v>
      </c>
      <c r="C27" s="63" t="s">
        <v>718</v>
      </c>
      <c r="D27" s="63">
        <v>80235.0</v>
      </c>
      <c r="E27" s="63" t="s">
        <v>239</v>
      </c>
      <c r="F27" s="63">
        <v>9.0</v>
      </c>
      <c r="G27" s="63">
        <v>9.0</v>
      </c>
      <c r="H27" s="63">
        <v>3.0</v>
      </c>
      <c r="I27" s="63">
        <v>13.0</v>
      </c>
      <c r="K27" s="63">
        <v>41.0</v>
      </c>
      <c r="L27" s="63">
        <v>146.0</v>
      </c>
      <c r="N27" s="63">
        <v>200.0</v>
      </c>
      <c r="P27" s="63">
        <v>3.0</v>
      </c>
      <c r="U27" s="63">
        <v>3.0</v>
      </c>
      <c r="W27" s="64">
        <v>6.0</v>
      </c>
      <c r="X27" s="63">
        <v>6.0</v>
      </c>
      <c r="Y27" s="63">
        <v>22.0</v>
      </c>
      <c r="Z27" s="63">
        <v>22.0</v>
      </c>
      <c r="AA27" s="63">
        <v>11.0</v>
      </c>
      <c r="AB27" s="63">
        <v>6.0</v>
      </c>
      <c r="AD27" s="63">
        <v>17.0</v>
      </c>
      <c r="AE27" s="63">
        <v>160.0</v>
      </c>
      <c r="AG27" s="63">
        <v>214.0</v>
      </c>
      <c r="AL27" s="63">
        <v>1.0</v>
      </c>
      <c r="AP27" s="63">
        <v>1.0</v>
      </c>
      <c r="AQ27" s="63">
        <v>1.0</v>
      </c>
      <c r="AR27" s="63">
        <v>29.0</v>
      </c>
      <c r="AS27" s="63">
        <f t="shared" si="1"/>
        <v>459</v>
      </c>
      <c r="AT27" s="63">
        <f t="shared" si="2"/>
        <v>421</v>
      </c>
      <c r="AU27" s="63">
        <f t="shared" si="3"/>
        <v>14</v>
      </c>
      <c r="AV27" s="63">
        <f t="shared" si="4"/>
        <v>38</v>
      </c>
      <c r="AW27" s="63">
        <f t="shared" si="5"/>
        <v>24</v>
      </c>
      <c r="AX27" s="67">
        <f t="shared" si="6"/>
        <v>0.0002307514807</v>
      </c>
      <c r="AY27" s="63">
        <v>104008.0</v>
      </c>
    </row>
    <row r="28" ht="15.75" customHeight="1">
      <c r="A28" s="63" t="s">
        <v>710</v>
      </c>
      <c r="B28" s="63" t="s">
        <v>711</v>
      </c>
      <c r="C28" s="63" t="s">
        <v>712</v>
      </c>
      <c r="D28" s="63">
        <v>80461.0</v>
      </c>
      <c r="E28" s="63" t="s">
        <v>713</v>
      </c>
      <c r="F28" s="63">
        <v>9.0</v>
      </c>
      <c r="H28" s="63">
        <v>168.0</v>
      </c>
      <c r="I28" s="63">
        <v>19.0</v>
      </c>
      <c r="K28" s="63">
        <v>1.0</v>
      </c>
      <c r="M28" s="63">
        <v>2.0</v>
      </c>
      <c r="N28" s="63">
        <v>40.0</v>
      </c>
      <c r="O28" s="63">
        <v>118.0</v>
      </c>
      <c r="P28" s="63">
        <v>14.0</v>
      </c>
      <c r="U28" s="63">
        <v>2.0</v>
      </c>
      <c r="W28" s="64">
        <v>5.0</v>
      </c>
      <c r="AA28" s="63">
        <v>6.0</v>
      </c>
      <c r="AG28" s="63">
        <v>6.0</v>
      </c>
      <c r="AR28" s="63">
        <v>1.0</v>
      </c>
      <c r="AS28" s="63">
        <f t="shared" si="1"/>
        <v>205</v>
      </c>
      <c r="AT28" s="63">
        <f t="shared" si="2"/>
        <v>180</v>
      </c>
      <c r="AU28" s="63">
        <f t="shared" si="3"/>
        <v>5</v>
      </c>
      <c r="AV28" s="63">
        <f t="shared" si="4"/>
        <v>25</v>
      </c>
      <c r="AW28" s="63">
        <f t="shared" si="5"/>
        <v>20</v>
      </c>
      <c r="AX28" s="67">
        <f t="shared" si="6"/>
        <v>0.0001922929005</v>
      </c>
      <c r="AY28" s="63">
        <v>104008.0</v>
      </c>
    </row>
    <row r="29" ht="15.75" customHeight="1">
      <c r="A29" s="63" t="s">
        <v>337</v>
      </c>
      <c r="B29" s="63" t="s">
        <v>338</v>
      </c>
      <c r="C29" s="63" t="s">
        <v>339</v>
      </c>
      <c r="D29" s="63">
        <v>80520.0</v>
      </c>
      <c r="E29" s="63" t="s">
        <v>258</v>
      </c>
      <c r="F29" s="63">
        <v>98.0</v>
      </c>
      <c r="H29" s="63">
        <v>98.0</v>
      </c>
      <c r="O29" s="63">
        <v>84.0</v>
      </c>
      <c r="P29" s="63">
        <v>12.0</v>
      </c>
      <c r="S29" s="63">
        <v>2.0</v>
      </c>
      <c r="W29" s="64">
        <v>84.0</v>
      </c>
      <c r="AS29" s="63">
        <f t="shared" si="1"/>
        <v>196</v>
      </c>
      <c r="AT29" s="63">
        <f t="shared" si="2"/>
        <v>98</v>
      </c>
      <c r="AU29" s="63">
        <f t="shared" si="3"/>
        <v>84</v>
      </c>
      <c r="AV29" s="63">
        <f t="shared" si="4"/>
        <v>98</v>
      </c>
      <c r="AW29" s="63">
        <f t="shared" si="5"/>
        <v>14</v>
      </c>
      <c r="AX29" s="67">
        <f t="shared" si="6"/>
        <v>0.0001346050304</v>
      </c>
      <c r="AY29" s="63">
        <v>104008.0</v>
      </c>
    </row>
    <row r="30" ht="15.75" customHeight="1">
      <c r="A30" s="63" t="s">
        <v>303</v>
      </c>
      <c r="B30" s="63" t="s">
        <v>304</v>
      </c>
      <c r="C30" s="63" t="s">
        <v>305</v>
      </c>
      <c r="D30" s="63">
        <v>81625.0</v>
      </c>
      <c r="E30" s="63" t="s">
        <v>306</v>
      </c>
      <c r="F30" s="63">
        <v>14.0</v>
      </c>
      <c r="H30" s="63">
        <v>225.0</v>
      </c>
      <c r="I30" s="63">
        <v>22.0</v>
      </c>
      <c r="N30" s="63">
        <v>42.0</v>
      </c>
      <c r="O30" s="63">
        <v>177.0</v>
      </c>
      <c r="P30" s="63">
        <v>25.0</v>
      </c>
      <c r="U30" s="63">
        <v>1.0</v>
      </c>
      <c r="W30" s="64">
        <v>1.0</v>
      </c>
      <c r="AA30" s="63">
        <v>15.0</v>
      </c>
      <c r="AB30" s="63">
        <v>10.0</v>
      </c>
      <c r="AD30" s="63">
        <v>2.0</v>
      </c>
      <c r="AG30" s="63">
        <v>22.0</v>
      </c>
      <c r="AH30" s="63">
        <v>4.0</v>
      </c>
      <c r="AI30" s="63">
        <v>2.0</v>
      </c>
      <c r="AR30" s="63">
        <v>14.0</v>
      </c>
      <c r="AS30" s="63">
        <f t="shared" si="1"/>
        <v>288</v>
      </c>
      <c r="AT30" s="63">
        <f t="shared" si="2"/>
        <v>273</v>
      </c>
      <c r="AU30" s="63">
        <f t="shared" si="3"/>
        <v>1</v>
      </c>
      <c r="AV30" s="63">
        <f t="shared" si="4"/>
        <v>15</v>
      </c>
      <c r="AW30" s="63">
        <f t="shared" si="5"/>
        <v>14</v>
      </c>
      <c r="AX30" s="67">
        <f t="shared" si="6"/>
        <v>0.0001346050304</v>
      </c>
      <c r="AY30" s="63">
        <v>104008.0</v>
      </c>
    </row>
    <row r="31" ht="15.75" customHeight="1">
      <c r="A31" s="63" t="s">
        <v>609</v>
      </c>
      <c r="B31" s="63" t="s">
        <v>610</v>
      </c>
      <c r="C31" s="63" t="s">
        <v>611</v>
      </c>
      <c r="D31" s="63">
        <v>80446.0</v>
      </c>
      <c r="E31" s="63" t="s">
        <v>612</v>
      </c>
      <c r="F31" s="63">
        <v>6.0</v>
      </c>
      <c r="H31" s="63">
        <v>131.0</v>
      </c>
      <c r="I31" s="63">
        <v>42.0</v>
      </c>
      <c r="K31" s="63">
        <v>1.0</v>
      </c>
      <c r="N31" s="63">
        <v>47.0</v>
      </c>
      <c r="O31" s="63">
        <v>114.0</v>
      </c>
      <c r="U31" s="63">
        <v>2.0</v>
      </c>
      <c r="W31" s="64">
        <v>4.0</v>
      </c>
      <c r="AA31" s="63">
        <v>2.0</v>
      </c>
      <c r="AB31" s="63">
        <v>1.0</v>
      </c>
      <c r="AD31" s="63">
        <v>2.0</v>
      </c>
      <c r="AG31" s="63">
        <v>5.0</v>
      </c>
      <c r="AN31" s="63">
        <v>1.0</v>
      </c>
      <c r="AR31" s="63">
        <v>40.0</v>
      </c>
      <c r="AS31" s="63">
        <f t="shared" si="1"/>
        <v>185</v>
      </c>
      <c r="AT31" s="63">
        <f t="shared" si="2"/>
        <v>169</v>
      </c>
      <c r="AU31" s="63">
        <f t="shared" si="3"/>
        <v>4</v>
      </c>
      <c r="AV31" s="63">
        <f t="shared" si="4"/>
        <v>16</v>
      </c>
      <c r="AW31" s="63">
        <f t="shared" si="5"/>
        <v>12</v>
      </c>
      <c r="AX31" s="67">
        <f t="shared" si="6"/>
        <v>0.0001153757403</v>
      </c>
      <c r="AY31" s="63">
        <v>104008.0</v>
      </c>
    </row>
    <row r="32" ht="15.75" customHeight="1">
      <c r="A32" s="63" t="s">
        <v>895</v>
      </c>
      <c r="B32" s="63" t="s">
        <v>896</v>
      </c>
      <c r="C32" s="63" t="s">
        <v>897</v>
      </c>
      <c r="D32" s="63">
        <v>80128.0</v>
      </c>
      <c r="E32" s="63" t="s">
        <v>239</v>
      </c>
      <c r="F32" s="63">
        <v>6.0</v>
      </c>
      <c r="G32" s="63">
        <v>6.0</v>
      </c>
      <c r="I32" s="63">
        <v>4.0</v>
      </c>
      <c r="K32" s="63">
        <v>14.0</v>
      </c>
      <c r="L32" s="63">
        <v>7.0</v>
      </c>
      <c r="N32" s="63">
        <v>16.0</v>
      </c>
      <c r="U32" s="63">
        <v>3.0</v>
      </c>
      <c r="W32" s="64">
        <v>3.0</v>
      </c>
      <c r="X32" s="63">
        <v>3.0</v>
      </c>
      <c r="AS32" s="63">
        <f t="shared" si="1"/>
        <v>37</v>
      </c>
      <c r="AT32" s="63">
        <f t="shared" si="2"/>
        <v>19</v>
      </c>
      <c r="AU32" s="63">
        <f t="shared" si="3"/>
        <v>6</v>
      </c>
      <c r="AV32" s="63">
        <f t="shared" si="4"/>
        <v>18</v>
      </c>
      <c r="AW32" s="63">
        <f t="shared" si="5"/>
        <v>12</v>
      </c>
      <c r="AX32" s="67">
        <f t="shared" si="6"/>
        <v>0.0001153757403</v>
      </c>
      <c r="AY32" s="63">
        <v>104008.0</v>
      </c>
    </row>
    <row r="33" ht="15.75" customHeight="1">
      <c r="A33" s="63" t="s">
        <v>695</v>
      </c>
      <c r="B33" s="63" t="s">
        <v>696</v>
      </c>
      <c r="C33" s="63" t="s">
        <v>697</v>
      </c>
      <c r="D33" s="63">
        <v>80127.0</v>
      </c>
      <c r="E33" s="63" t="s">
        <v>239</v>
      </c>
      <c r="F33" s="63">
        <v>11.0</v>
      </c>
      <c r="G33" s="63">
        <v>11.0</v>
      </c>
      <c r="H33" s="63">
        <v>2.0</v>
      </c>
      <c r="K33" s="63">
        <v>2.0</v>
      </c>
      <c r="L33" s="63">
        <v>41.0</v>
      </c>
      <c r="M33" s="63">
        <v>3.0</v>
      </c>
      <c r="N33" s="63">
        <v>44.0</v>
      </c>
      <c r="O33" s="63">
        <v>2.0</v>
      </c>
      <c r="P33" s="63">
        <v>4.0</v>
      </c>
      <c r="S33" s="63">
        <v>2.0</v>
      </c>
      <c r="W33" s="64">
        <v>9.0</v>
      </c>
      <c r="X33" s="63">
        <v>9.0</v>
      </c>
      <c r="Y33" s="63">
        <v>13.0</v>
      </c>
      <c r="Z33" s="63">
        <v>13.0</v>
      </c>
      <c r="AA33" s="63">
        <v>4.0</v>
      </c>
      <c r="AB33" s="63">
        <v>5.0</v>
      </c>
      <c r="AD33" s="63">
        <v>9.0</v>
      </c>
      <c r="AE33" s="63">
        <v>152.0</v>
      </c>
      <c r="AF33" s="63">
        <v>1.0</v>
      </c>
      <c r="AG33" s="63">
        <v>179.0</v>
      </c>
      <c r="AL33" s="63">
        <v>4.0</v>
      </c>
      <c r="AP33" s="63">
        <v>1.0</v>
      </c>
      <c r="AQ33" s="63">
        <v>1.0</v>
      </c>
      <c r="AR33" s="63">
        <v>14.0</v>
      </c>
      <c r="AS33" s="63">
        <f t="shared" si="1"/>
        <v>267</v>
      </c>
      <c r="AT33" s="63">
        <f t="shared" si="2"/>
        <v>235</v>
      </c>
      <c r="AU33" s="63">
        <f t="shared" si="3"/>
        <v>20</v>
      </c>
      <c r="AV33" s="63">
        <f t="shared" si="4"/>
        <v>32</v>
      </c>
      <c r="AW33" s="63">
        <f t="shared" si="5"/>
        <v>12</v>
      </c>
      <c r="AX33" s="67">
        <f t="shared" si="6"/>
        <v>0.0001153757403</v>
      </c>
      <c r="AY33" s="63">
        <v>104008.0</v>
      </c>
    </row>
    <row r="34" ht="15.75" customHeight="1">
      <c r="A34" s="63" t="s">
        <v>1008</v>
      </c>
      <c r="B34" s="63" t="s">
        <v>1009</v>
      </c>
      <c r="C34" s="63" t="s">
        <v>1010</v>
      </c>
      <c r="D34" s="63">
        <v>81252.0</v>
      </c>
      <c r="E34" s="63" t="s">
        <v>1011</v>
      </c>
      <c r="I34" s="63">
        <v>10.0</v>
      </c>
      <c r="W34" s="64"/>
      <c r="AS34" s="63">
        <f t="shared" si="1"/>
        <v>10</v>
      </c>
      <c r="AT34" s="63">
        <f t="shared" si="2"/>
        <v>0</v>
      </c>
      <c r="AU34" s="63">
        <f t="shared" si="3"/>
        <v>0</v>
      </c>
      <c r="AV34" s="63">
        <f t="shared" si="4"/>
        <v>10</v>
      </c>
      <c r="AW34" s="63">
        <f t="shared" si="5"/>
        <v>10</v>
      </c>
      <c r="AX34" s="67">
        <f t="shared" si="6"/>
        <v>0.00009614645027</v>
      </c>
      <c r="AY34" s="63">
        <v>104008.0</v>
      </c>
    </row>
    <row r="35" ht="15.75" customHeight="1">
      <c r="A35" s="63" t="s">
        <v>603</v>
      </c>
      <c r="B35" s="63" t="s">
        <v>604</v>
      </c>
      <c r="C35" s="63" t="s">
        <v>605</v>
      </c>
      <c r="D35" s="63">
        <v>80211.0</v>
      </c>
      <c r="E35" s="63" t="s">
        <v>421</v>
      </c>
      <c r="F35" s="63">
        <v>7.0</v>
      </c>
      <c r="G35" s="63">
        <v>6.0</v>
      </c>
      <c r="I35" s="63">
        <v>2.0</v>
      </c>
      <c r="K35" s="63">
        <v>12.0</v>
      </c>
      <c r="L35" s="63">
        <v>5.0</v>
      </c>
      <c r="N35" s="63">
        <v>16.0</v>
      </c>
      <c r="W35" s="64">
        <v>3.0</v>
      </c>
      <c r="X35" s="63">
        <v>3.0</v>
      </c>
      <c r="AB35" s="63">
        <v>1.0</v>
      </c>
      <c r="AG35" s="63">
        <v>1.0</v>
      </c>
      <c r="AR35" s="63">
        <v>14.0</v>
      </c>
      <c r="AS35" s="63">
        <f t="shared" si="1"/>
        <v>33</v>
      </c>
      <c r="AT35" s="63">
        <f t="shared" si="2"/>
        <v>17</v>
      </c>
      <c r="AU35" s="63">
        <f t="shared" si="3"/>
        <v>6</v>
      </c>
      <c r="AV35" s="63">
        <f t="shared" si="4"/>
        <v>16</v>
      </c>
      <c r="AW35" s="63">
        <f t="shared" si="5"/>
        <v>10</v>
      </c>
      <c r="AX35" s="67">
        <f t="shared" si="6"/>
        <v>0.00009614645027</v>
      </c>
      <c r="AY35" s="63">
        <v>104008.0</v>
      </c>
    </row>
    <row r="36" ht="15.75" customHeight="1">
      <c r="A36" s="63" t="s">
        <v>741</v>
      </c>
      <c r="B36" s="63" t="s">
        <v>742</v>
      </c>
      <c r="C36" s="63" t="s">
        <v>743</v>
      </c>
      <c r="D36" s="63">
        <v>80907.0</v>
      </c>
      <c r="E36" s="63" t="s">
        <v>243</v>
      </c>
      <c r="F36" s="63">
        <v>8.0</v>
      </c>
      <c r="G36" s="63">
        <v>8.0</v>
      </c>
      <c r="I36" s="63">
        <v>3.0</v>
      </c>
      <c r="L36" s="63">
        <v>3.0</v>
      </c>
      <c r="M36" s="63">
        <v>3.0</v>
      </c>
      <c r="N36" s="63">
        <v>13.0</v>
      </c>
      <c r="O36" s="63">
        <v>1.0</v>
      </c>
      <c r="S36" s="63">
        <v>1.0</v>
      </c>
      <c r="W36" s="64"/>
      <c r="X36" s="63">
        <v>3.0</v>
      </c>
      <c r="Z36" s="63">
        <v>1.0</v>
      </c>
      <c r="AA36" s="63">
        <v>4.0</v>
      </c>
      <c r="AB36" s="63">
        <v>16.0</v>
      </c>
      <c r="AE36" s="63">
        <v>13.0</v>
      </c>
      <c r="AF36" s="63">
        <v>2.0</v>
      </c>
      <c r="AG36" s="63">
        <v>34.0</v>
      </c>
      <c r="AH36" s="63">
        <v>1.0</v>
      </c>
      <c r="AR36" s="63">
        <v>43.0</v>
      </c>
      <c r="AS36" s="63">
        <f t="shared" si="1"/>
        <v>61</v>
      </c>
      <c r="AT36" s="63">
        <f t="shared" si="2"/>
        <v>50</v>
      </c>
      <c r="AU36" s="63">
        <f t="shared" si="3"/>
        <v>3</v>
      </c>
      <c r="AV36" s="63">
        <f t="shared" si="4"/>
        <v>11</v>
      </c>
      <c r="AW36" s="63">
        <f t="shared" si="5"/>
        <v>8</v>
      </c>
      <c r="AX36" s="67">
        <f t="shared" si="6"/>
        <v>0.00007691716022</v>
      </c>
      <c r="AY36" s="63">
        <v>104008.0</v>
      </c>
    </row>
    <row r="37" ht="15.75" customHeight="1">
      <c r="A37" s="63" t="s">
        <v>877</v>
      </c>
      <c r="B37" s="63" t="s">
        <v>878</v>
      </c>
      <c r="C37" s="63" t="s">
        <v>879</v>
      </c>
      <c r="D37" s="63">
        <v>80228.0</v>
      </c>
      <c r="E37" s="63" t="s">
        <v>239</v>
      </c>
      <c r="F37" s="63">
        <v>14.0</v>
      </c>
      <c r="G37" s="63">
        <v>14.0</v>
      </c>
      <c r="I37" s="63">
        <v>45.0</v>
      </c>
      <c r="K37" s="63">
        <v>4.0</v>
      </c>
      <c r="L37" s="63">
        <v>4.0</v>
      </c>
      <c r="N37" s="63">
        <v>57.0</v>
      </c>
      <c r="U37" s="63">
        <v>3.0</v>
      </c>
      <c r="W37" s="64">
        <v>7.0</v>
      </c>
      <c r="X37" s="63">
        <v>7.0</v>
      </c>
      <c r="AS37" s="63">
        <f t="shared" si="1"/>
        <v>81</v>
      </c>
      <c r="AT37" s="63">
        <f t="shared" si="2"/>
        <v>60</v>
      </c>
      <c r="AU37" s="63">
        <f t="shared" si="3"/>
        <v>14</v>
      </c>
      <c r="AV37" s="63">
        <f t="shared" si="4"/>
        <v>21</v>
      </c>
      <c r="AW37" s="63">
        <f t="shared" si="5"/>
        <v>7</v>
      </c>
      <c r="AX37" s="67">
        <f t="shared" si="6"/>
        <v>0.00006730251519</v>
      </c>
      <c r="AY37" s="63">
        <v>104008.0</v>
      </c>
    </row>
    <row r="38" ht="15.75" customHeight="1">
      <c r="A38" s="63" t="s">
        <v>511</v>
      </c>
      <c r="B38" s="63" t="s">
        <v>512</v>
      </c>
      <c r="C38" s="63" t="s">
        <v>513</v>
      </c>
      <c r="D38" s="63">
        <v>81069.0</v>
      </c>
      <c r="E38" s="63" t="s">
        <v>406</v>
      </c>
      <c r="F38" s="63">
        <v>32.0</v>
      </c>
      <c r="G38" s="63">
        <v>32.0</v>
      </c>
      <c r="I38" s="63">
        <v>15.0</v>
      </c>
      <c r="J38" s="63">
        <v>4.0</v>
      </c>
      <c r="K38" s="63">
        <v>123.0</v>
      </c>
      <c r="L38" s="63">
        <v>65.0</v>
      </c>
      <c r="N38" s="63">
        <v>179.0</v>
      </c>
      <c r="S38" s="63">
        <v>5.0</v>
      </c>
      <c r="W38" s="64">
        <v>30.0</v>
      </c>
      <c r="X38" s="63">
        <v>30.0</v>
      </c>
      <c r="Y38" s="63">
        <v>1.0</v>
      </c>
      <c r="Z38" s="63">
        <v>1.0</v>
      </c>
      <c r="AB38" s="63">
        <v>2.0</v>
      </c>
      <c r="AG38" s="63">
        <v>12.0</v>
      </c>
      <c r="AK38" s="63">
        <v>12.0</v>
      </c>
      <c r="AR38" s="63">
        <v>15.0</v>
      </c>
      <c r="AS38" s="63">
        <f t="shared" si="1"/>
        <v>275</v>
      </c>
      <c r="AT38" s="63">
        <f t="shared" si="2"/>
        <v>208</v>
      </c>
      <c r="AU38" s="63">
        <f t="shared" si="3"/>
        <v>60</v>
      </c>
      <c r="AV38" s="63">
        <f t="shared" si="4"/>
        <v>67</v>
      </c>
      <c r="AW38" s="63">
        <f t="shared" si="5"/>
        <v>7</v>
      </c>
      <c r="AX38" s="67">
        <f t="shared" si="6"/>
        <v>0.00006730251519</v>
      </c>
      <c r="AY38" s="63">
        <v>104008.0</v>
      </c>
    </row>
    <row r="39" ht="15.75" customHeight="1">
      <c r="A39" s="63" t="s">
        <v>658</v>
      </c>
      <c r="B39" s="63" t="s">
        <v>659</v>
      </c>
      <c r="C39" s="63" t="s">
        <v>660</v>
      </c>
      <c r="D39" s="63">
        <v>80301.0</v>
      </c>
      <c r="E39" s="63" t="s">
        <v>279</v>
      </c>
      <c r="F39" s="63">
        <v>45.0</v>
      </c>
      <c r="G39" s="63">
        <v>4.0</v>
      </c>
      <c r="H39" s="63">
        <v>832.0</v>
      </c>
      <c r="I39" s="63">
        <v>1137.0</v>
      </c>
      <c r="J39" s="63">
        <v>57.0</v>
      </c>
      <c r="K39" s="63">
        <v>258.0</v>
      </c>
      <c r="L39" s="63">
        <v>1055.0</v>
      </c>
      <c r="M39" s="63">
        <v>83.0</v>
      </c>
      <c r="N39" s="63">
        <v>2357.0</v>
      </c>
      <c r="O39" s="63">
        <v>753.0</v>
      </c>
      <c r="P39" s="63">
        <v>56.0</v>
      </c>
      <c r="Q39" s="63">
        <v>8.0</v>
      </c>
      <c r="R39" s="63">
        <v>48.0</v>
      </c>
      <c r="S39" s="63">
        <v>6.0</v>
      </c>
      <c r="T39" s="63">
        <v>1.0</v>
      </c>
      <c r="U39" s="63">
        <v>198.0</v>
      </c>
      <c r="V39" s="63">
        <v>57.0</v>
      </c>
      <c r="W39" s="64">
        <v>34.0</v>
      </c>
      <c r="X39" s="63">
        <v>6.0</v>
      </c>
      <c r="Y39" s="63">
        <v>2.0</v>
      </c>
      <c r="Z39" s="63">
        <v>4.0</v>
      </c>
      <c r="AA39" s="63">
        <v>25.0</v>
      </c>
      <c r="AB39" s="63">
        <v>115.0</v>
      </c>
      <c r="AC39" s="63">
        <v>7.0</v>
      </c>
      <c r="AD39" s="63">
        <v>48.0</v>
      </c>
      <c r="AE39" s="63">
        <v>827.0</v>
      </c>
      <c r="AF39" s="63">
        <v>11.0</v>
      </c>
      <c r="AG39" s="63">
        <v>928.0</v>
      </c>
      <c r="AH39" s="63">
        <v>6.0</v>
      </c>
      <c r="AK39" s="63">
        <v>2.0</v>
      </c>
      <c r="AL39" s="63">
        <v>8.0</v>
      </c>
      <c r="AN39" s="63">
        <v>8.0</v>
      </c>
      <c r="AO39" s="63">
        <v>7.0</v>
      </c>
      <c r="AP39" s="63">
        <v>1.0</v>
      </c>
      <c r="AQ39" s="63">
        <v>20.0</v>
      </c>
      <c r="AR39" s="63">
        <v>7.2</v>
      </c>
      <c r="AS39" s="63">
        <f t="shared" si="1"/>
        <v>4510</v>
      </c>
      <c r="AT39" s="63">
        <f t="shared" si="2"/>
        <v>4443</v>
      </c>
      <c r="AU39" s="63">
        <f t="shared" si="3"/>
        <v>61</v>
      </c>
      <c r="AV39" s="63">
        <f t="shared" si="4"/>
        <v>67</v>
      </c>
      <c r="AW39" s="63">
        <f t="shared" si="5"/>
        <v>6</v>
      </c>
      <c r="AX39" s="67">
        <f t="shared" si="6"/>
        <v>0.00005768787016</v>
      </c>
      <c r="AY39" s="63">
        <v>104008.0</v>
      </c>
    </row>
    <row r="40" ht="15.75" customHeight="1">
      <c r="A40" s="63" t="s">
        <v>475</v>
      </c>
      <c r="B40" s="63" t="s">
        <v>476</v>
      </c>
      <c r="C40" s="63" t="s">
        <v>477</v>
      </c>
      <c r="D40" s="63">
        <v>81054.0</v>
      </c>
      <c r="E40" s="63" t="s">
        <v>478</v>
      </c>
      <c r="F40" s="63">
        <v>6.0</v>
      </c>
      <c r="H40" s="63">
        <v>78.0</v>
      </c>
      <c r="I40" s="63">
        <v>2.0</v>
      </c>
      <c r="N40" s="63">
        <v>20.0</v>
      </c>
      <c r="O40" s="63">
        <v>29.0</v>
      </c>
      <c r="P40" s="63">
        <v>5.0</v>
      </c>
      <c r="U40" s="63">
        <v>26.0</v>
      </c>
      <c r="W40" s="64"/>
      <c r="AS40" s="63">
        <f t="shared" si="1"/>
        <v>86</v>
      </c>
      <c r="AT40" s="63">
        <f t="shared" si="2"/>
        <v>80</v>
      </c>
      <c r="AU40" s="63">
        <f t="shared" si="3"/>
        <v>0</v>
      </c>
      <c r="AV40" s="63">
        <f t="shared" si="4"/>
        <v>6</v>
      </c>
      <c r="AW40" s="63">
        <f t="shared" si="5"/>
        <v>6</v>
      </c>
      <c r="AX40" s="67">
        <f t="shared" si="6"/>
        <v>0.00005768787016</v>
      </c>
      <c r="AY40" s="63">
        <v>104008.0</v>
      </c>
    </row>
    <row r="41" ht="15.75" customHeight="1">
      <c r="A41" s="63" t="s">
        <v>426</v>
      </c>
      <c r="B41" s="63" t="s">
        <v>427</v>
      </c>
      <c r="C41" s="63" t="s">
        <v>428</v>
      </c>
      <c r="D41" s="63">
        <v>80116.0</v>
      </c>
      <c r="E41" s="63" t="s">
        <v>235</v>
      </c>
      <c r="F41" s="63">
        <v>8.0</v>
      </c>
      <c r="G41" s="63">
        <v>8.0</v>
      </c>
      <c r="I41" s="63">
        <v>11.0</v>
      </c>
      <c r="K41" s="63">
        <v>3.0</v>
      </c>
      <c r="L41" s="63">
        <v>3.0</v>
      </c>
      <c r="N41" s="63">
        <v>22.0</v>
      </c>
      <c r="W41" s="64">
        <v>3.0</v>
      </c>
      <c r="X41" s="63">
        <v>3.0</v>
      </c>
      <c r="AB41" s="63">
        <v>5.0</v>
      </c>
      <c r="AE41" s="63">
        <v>1.0</v>
      </c>
      <c r="AG41" s="63">
        <v>6.0</v>
      </c>
      <c r="AR41" s="63">
        <v>27.0</v>
      </c>
      <c r="AS41" s="63">
        <f t="shared" si="1"/>
        <v>39</v>
      </c>
      <c r="AT41" s="63">
        <f t="shared" si="2"/>
        <v>28</v>
      </c>
      <c r="AU41" s="63">
        <f t="shared" si="3"/>
        <v>6</v>
      </c>
      <c r="AV41" s="63">
        <f t="shared" si="4"/>
        <v>11</v>
      </c>
      <c r="AW41" s="63">
        <f t="shared" si="5"/>
        <v>5</v>
      </c>
      <c r="AX41" s="67">
        <f t="shared" si="6"/>
        <v>0.00004807322514</v>
      </c>
      <c r="AY41" s="63">
        <v>104008.0</v>
      </c>
    </row>
    <row r="42" ht="15.75" customHeight="1">
      <c r="A42" s="63" t="s">
        <v>643</v>
      </c>
      <c r="B42" s="63" t="s">
        <v>644</v>
      </c>
      <c r="C42" s="63" t="s">
        <v>645</v>
      </c>
      <c r="D42" s="63">
        <v>80610.0</v>
      </c>
      <c r="E42" s="63" t="s">
        <v>258</v>
      </c>
      <c r="H42" s="63">
        <v>33.0</v>
      </c>
      <c r="I42" s="63">
        <v>2.0</v>
      </c>
      <c r="J42" s="63">
        <v>2.0</v>
      </c>
      <c r="N42" s="63">
        <v>13.0</v>
      </c>
      <c r="O42" s="63">
        <v>16.0</v>
      </c>
      <c r="U42" s="63">
        <v>2.0</v>
      </c>
      <c r="V42" s="63">
        <v>2.0</v>
      </c>
      <c r="W42" s="64"/>
      <c r="AS42" s="63">
        <f t="shared" si="1"/>
        <v>37</v>
      </c>
      <c r="AT42" s="63">
        <f t="shared" si="2"/>
        <v>33</v>
      </c>
      <c r="AU42" s="63">
        <f t="shared" si="3"/>
        <v>0</v>
      </c>
      <c r="AV42" s="63">
        <f t="shared" si="4"/>
        <v>4</v>
      </c>
      <c r="AW42" s="63">
        <f t="shared" si="5"/>
        <v>4</v>
      </c>
      <c r="AX42" s="67">
        <f t="shared" si="6"/>
        <v>0.00003845858011</v>
      </c>
      <c r="AY42" s="63">
        <v>104008.0</v>
      </c>
    </row>
    <row r="43" ht="15.75" customHeight="1">
      <c r="A43" s="63" t="s">
        <v>454</v>
      </c>
      <c r="B43" s="63" t="s">
        <v>455</v>
      </c>
      <c r="C43" s="63" t="s">
        <v>456</v>
      </c>
      <c r="D43" s="63">
        <v>80015.0</v>
      </c>
      <c r="E43" s="63" t="s">
        <v>350</v>
      </c>
      <c r="W43" s="64"/>
      <c r="Z43" s="63">
        <v>3.0</v>
      </c>
      <c r="AD43" s="63">
        <v>11.0</v>
      </c>
      <c r="AE43" s="63">
        <v>1263.0</v>
      </c>
      <c r="AG43" s="63">
        <v>1213.0</v>
      </c>
      <c r="AJ43" s="63">
        <v>26.0</v>
      </c>
      <c r="AL43" s="63">
        <v>18.0</v>
      </c>
      <c r="AN43" s="63">
        <v>14.0</v>
      </c>
      <c r="AQ43" s="63">
        <v>2.0</v>
      </c>
      <c r="AR43" s="63">
        <v>3.0</v>
      </c>
      <c r="AS43" s="63">
        <f t="shared" si="1"/>
        <v>1277</v>
      </c>
      <c r="AT43" s="63">
        <f t="shared" si="2"/>
        <v>1271</v>
      </c>
      <c r="AU43" s="63">
        <f t="shared" si="3"/>
        <v>2</v>
      </c>
      <c r="AV43" s="63">
        <f t="shared" si="4"/>
        <v>6</v>
      </c>
      <c r="AW43" s="63">
        <f t="shared" si="5"/>
        <v>4</v>
      </c>
      <c r="AX43" s="67">
        <f t="shared" si="6"/>
        <v>0.00003845858011</v>
      </c>
      <c r="AY43" s="63">
        <v>104008.0</v>
      </c>
    </row>
    <row r="44" ht="15.75" customHeight="1">
      <c r="A44" s="63" t="s">
        <v>594</v>
      </c>
      <c r="B44" s="63" t="s">
        <v>595</v>
      </c>
      <c r="C44" s="63" t="s">
        <v>596</v>
      </c>
      <c r="D44" s="63">
        <v>80701.0</v>
      </c>
      <c r="E44" s="63" t="s">
        <v>372</v>
      </c>
      <c r="G44" s="63">
        <v>15.0</v>
      </c>
      <c r="I44" s="63">
        <v>13.0</v>
      </c>
      <c r="K44" s="63">
        <v>6.0</v>
      </c>
      <c r="L44" s="63">
        <v>9.0</v>
      </c>
      <c r="N44" s="63">
        <v>28.0</v>
      </c>
      <c r="P44" s="63">
        <v>1.0</v>
      </c>
      <c r="W44" s="64"/>
      <c r="X44" s="63">
        <v>10.0</v>
      </c>
      <c r="AS44" s="63">
        <f t="shared" si="1"/>
        <v>43</v>
      </c>
      <c r="AT44" s="63">
        <f t="shared" si="2"/>
        <v>29</v>
      </c>
      <c r="AU44" s="63">
        <f t="shared" si="3"/>
        <v>10</v>
      </c>
      <c r="AV44" s="63">
        <f t="shared" si="4"/>
        <v>14</v>
      </c>
      <c r="AW44" s="63">
        <f t="shared" si="5"/>
        <v>4</v>
      </c>
      <c r="AX44" s="67">
        <f t="shared" si="6"/>
        <v>0.00003845858011</v>
      </c>
      <c r="AY44" s="63">
        <v>104008.0</v>
      </c>
    </row>
    <row r="45" ht="15.75" customHeight="1">
      <c r="A45" s="63" t="s">
        <v>600</v>
      </c>
      <c r="B45" s="63" t="s">
        <v>601</v>
      </c>
      <c r="C45" s="63" t="s">
        <v>602</v>
      </c>
      <c r="D45" s="63">
        <v>80007.0</v>
      </c>
      <c r="E45" s="63" t="s">
        <v>239</v>
      </c>
      <c r="F45" s="63">
        <v>8.0</v>
      </c>
      <c r="G45" s="63">
        <v>3.0</v>
      </c>
      <c r="I45" s="63">
        <v>128.0</v>
      </c>
      <c r="K45" s="63">
        <v>33.0</v>
      </c>
      <c r="L45" s="63">
        <v>22.0</v>
      </c>
      <c r="M45" s="63">
        <v>12.0</v>
      </c>
      <c r="N45" s="63">
        <v>173.0</v>
      </c>
      <c r="O45" s="63">
        <v>1.0</v>
      </c>
      <c r="P45" s="63">
        <v>8.0</v>
      </c>
      <c r="S45" s="63">
        <v>1.0</v>
      </c>
      <c r="U45" s="63">
        <v>9.0</v>
      </c>
      <c r="W45" s="64">
        <v>10.0</v>
      </c>
      <c r="AB45" s="63">
        <v>17.0</v>
      </c>
      <c r="AG45" s="63">
        <v>17.0</v>
      </c>
      <c r="AR45" s="63">
        <v>57.0</v>
      </c>
      <c r="AS45" s="63">
        <f t="shared" si="1"/>
        <v>223</v>
      </c>
      <c r="AT45" s="63">
        <f t="shared" si="2"/>
        <v>209</v>
      </c>
      <c r="AU45" s="63">
        <f t="shared" si="3"/>
        <v>10</v>
      </c>
      <c r="AV45" s="63">
        <f t="shared" si="4"/>
        <v>14</v>
      </c>
      <c r="AW45" s="63">
        <f t="shared" si="5"/>
        <v>4</v>
      </c>
      <c r="AX45" s="67">
        <f t="shared" si="6"/>
        <v>0.00003845858011</v>
      </c>
      <c r="AY45" s="63">
        <v>104008.0</v>
      </c>
    </row>
    <row r="46" ht="15.75" customHeight="1">
      <c r="A46" s="63" t="s">
        <v>777</v>
      </c>
      <c r="B46" s="63" t="s">
        <v>778</v>
      </c>
      <c r="C46" s="63" t="s">
        <v>779</v>
      </c>
      <c r="D46" s="63">
        <v>80232.0</v>
      </c>
      <c r="E46" s="63" t="s">
        <v>239</v>
      </c>
      <c r="F46" s="63">
        <v>4.0</v>
      </c>
      <c r="G46" s="63">
        <v>3.0</v>
      </c>
      <c r="I46" s="63">
        <v>10.0</v>
      </c>
      <c r="L46" s="63">
        <v>3.0</v>
      </c>
      <c r="N46" s="63">
        <v>10.0</v>
      </c>
      <c r="W46" s="64">
        <v>3.0</v>
      </c>
      <c r="X46" s="63">
        <v>3.0</v>
      </c>
      <c r="AS46" s="63">
        <f t="shared" si="1"/>
        <v>20</v>
      </c>
      <c r="AT46" s="63">
        <f t="shared" si="2"/>
        <v>10</v>
      </c>
      <c r="AU46" s="63">
        <f t="shared" si="3"/>
        <v>6</v>
      </c>
      <c r="AV46" s="63">
        <f t="shared" si="4"/>
        <v>10</v>
      </c>
      <c r="AW46" s="63">
        <f t="shared" si="5"/>
        <v>4</v>
      </c>
      <c r="AX46" s="67">
        <f t="shared" si="6"/>
        <v>0.00003845858011</v>
      </c>
      <c r="AY46" s="63">
        <v>104008.0</v>
      </c>
    </row>
    <row r="47" ht="15.75" customHeight="1">
      <c r="A47" s="63" t="s">
        <v>385</v>
      </c>
      <c r="B47" s="63" t="s">
        <v>386</v>
      </c>
      <c r="C47" s="63" t="s">
        <v>387</v>
      </c>
      <c r="D47" s="63">
        <v>81050.0</v>
      </c>
      <c r="E47" s="63" t="s">
        <v>388</v>
      </c>
      <c r="F47" s="63">
        <v>3.0</v>
      </c>
      <c r="H47" s="63">
        <v>312.0</v>
      </c>
      <c r="O47" s="63">
        <v>128.0</v>
      </c>
      <c r="P47" s="63">
        <v>172.0</v>
      </c>
      <c r="U47" s="63">
        <v>9.0</v>
      </c>
      <c r="W47" s="64">
        <v>3.0</v>
      </c>
      <c r="AS47" s="63">
        <f t="shared" si="1"/>
        <v>315</v>
      </c>
      <c r="AT47" s="63">
        <f t="shared" si="2"/>
        <v>309</v>
      </c>
      <c r="AU47" s="63">
        <f t="shared" si="3"/>
        <v>3</v>
      </c>
      <c r="AV47" s="63">
        <f t="shared" si="4"/>
        <v>6</v>
      </c>
      <c r="AW47" s="63">
        <f t="shared" si="5"/>
        <v>3</v>
      </c>
      <c r="AX47" s="67">
        <f t="shared" si="6"/>
        <v>0.00002884393508</v>
      </c>
      <c r="AY47" s="63">
        <v>104008.0</v>
      </c>
    </row>
    <row r="48" ht="15.75" customHeight="1">
      <c r="A48" s="63" t="s">
        <v>832</v>
      </c>
      <c r="B48" s="63" t="s">
        <v>833</v>
      </c>
      <c r="C48" s="63" t="s">
        <v>834</v>
      </c>
      <c r="D48" s="63">
        <v>80123.0</v>
      </c>
      <c r="E48" s="63" t="s">
        <v>350</v>
      </c>
      <c r="F48" s="63">
        <v>3.0</v>
      </c>
      <c r="I48" s="63">
        <v>13.0</v>
      </c>
      <c r="N48" s="63">
        <v>12.0</v>
      </c>
      <c r="W48" s="64"/>
      <c r="X48" s="63">
        <v>1.0</v>
      </c>
      <c r="AS48" s="63">
        <f t="shared" si="1"/>
        <v>16</v>
      </c>
      <c r="AT48" s="63">
        <f t="shared" si="2"/>
        <v>12</v>
      </c>
      <c r="AU48" s="63">
        <f t="shared" si="3"/>
        <v>1</v>
      </c>
      <c r="AV48" s="63">
        <f t="shared" si="4"/>
        <v>4</v>
      </c>
      <c r="AW48" s="63">
        <f t="shared" si="5"/>
        <v>3</v>
      </c>
      <c r="AX48" s="67">
        <f t="shared" si="6"/>
        <v>0.00002884393508</v>
      </c>
      <c r="AY48" s="63">
        <v>104008.0</v>
      </c>
    </row>
    <row r="49" ht="15.75" customHeight="1">
      <c r="A49" s="63" t="s">
        <v>798</v>
      </c>
      <c r="B49" s="63" t="s">
        <v>799</v>
      </c>
      <c r="C49" s="63" t="s">
        <v>800</v>
      </c>
      <c r="D49" s="63">
        <v>80132.0</v>
      </c>
      <c r="E49" s="63" t="s">
        <v>243</v>
      </c>
      <c r="F49" s="63">
        <v>7.0</v>
      </c>
      <c r="G49" s="63">
        <v>7.0</v>
      </c>
      <c r="H49" s="63">
        <v>2.0</v>
      </c>
      <c r="I49" s="63">
        <v>17.0</v>
      </c>
      <c r="K49" s="63">
        <v>6.0</v>
      </c>
      <c r="L49" s="63">
        <v>6.0</v>
      </c>
      <c r="N49" s="63">
        <v>33.0</v>
      </c>
      <c r="S49" s="63">
        <v>1.0</v>
      </c>
      <c r="W49" s="64">
        <v>4.0</v>
      </c>
      <c r="X49" s="63">
        <v>4.0</v>
      </c>
      <c r="AS49" s="63">
        <f t="shared" si="1"/>
        <v>45</v>
      </c>
      <c r="AT49" s="63">
        <f t="shared" si="2"/>
        <v>34</v>
      </c>
      <c r="AU49" s="63">
        <f t="shared" si="3"/>
        <v>8</v>
      </c>
      <c r="AV49" s="63">
        <f t="shared" si="4"/>
        <v>11</v>
      </c>
      <c r="AW49" s="63">
        <f t="shared" si="5"/>
        <v>3</v>
      </c>
      <c r="AX49" s="67">
        <f t="shared" si="6"/>
        <v>0.00002884393508</v>
      </c>
      <c r="AY49" s="63">
        <v>104008.0</v>
      </c>
    </row>
    <row r="50" ht="15.75" customHeight="1">
      <c r="A50" s="63" t="s">
        <v>628</v>
      </c>
      <c r="B50" s="63" t="s">
        <v>629</v>
      </c>
      <c r="C50" s="63" t="s">
        <v>630</v>
      </c>
      <c r="D50" s="63">
        <v>80525.0</v>
      </c>
      <c r="E50" s="63" t="s">
        <v>275</v>
      </c>
      <c r="F50" s="63">
        <v>5.0</v>
      </c>
      <c r="G50" s="63">
        <v>3.0</v>
      </c>
      <c r="H50" s="63">
        <v>3.0</v>
      </c>
      <c r="I50" s="63">
        <v>3.0</v>
      </c>
      <c r="L50" s="63">
        <v>52.0</v>
      </c>
      <c r="N50" s="63">
        <v>58.0</v>
      </c>
      <c r="O50" s="63">
        <v>3.0</v>
      </c>
      <c r="W50" s="64">
        <v>2.0</v>
      </c>
      <c r="AE50" s="63">
        <v>9.0</v>
      </c>
      <c r="AG50" s="63">
        <v>8.0</v>
      </c>
      <c r="AP50" s="63">
        <v>1.0</v>
      </c>
      <c r="AR50" s="63">
        <v>28.0</v>
      </c>
      <c r="AS50" s="63">
        <f t="shared" si="1"/>
        <v>75</v>
      </c>
      <c r="AT50" s="63">
        <f t="shared" si="2"/>
        <v>69</v>
      </c>
      <c r="AU50" s="63">
        <f t="shared" si="3"/>
        <v>3</v>
      </c>
      <c r="AV50" s="63">
        <f t="shared" si="4"/>
        <v>6</v>
      </c>
      <c r="AW50" s="63">
        <f t="shared" si="5"/>
        <v>3</v>
      </c>
      <c r="AX50" s="67">
        <f t="shared" si="6"/>
        <v>0.00002884393508</v>
      </c>
      <c r="AY50" s="63">
        <v>104008.0</v>
      </c>
    </row>
    <row r="51" ht="15.75" customHeight="1">
      <c r="A51" s="63" t="s">
        <v>801</v>
      </c>
      <c r="B51" s="63" t="s">
        <v>802</v>
      </c>
      <c r="C51" s="63" t="s">
        <v>803</v>
      </c>
      <c r="D51" s="63">
        <v>81224.0</v>
      </c>
      <c r="E51" s="63" t="s">
        <v>384</v>
      </c>
      <c r="F51" s="63">
        <v>7.0</v>
      </c>
      <c r="I51" s="63">
        <v>4.0</v>
      </c>
      <c r="K51" s="63">
        <v>1.0</v>
      </c>
      <c r="L51" s="63">
        <v>3.0</v>
      </c>
      <c r="M51" s="63">
        <v>1.0</v>
      </c>
      <c r="N51" s="63">
        <v>5.0</v>
      </c>
      <c r="S51" s="63">
        <v>1.0</v>
      </c>
      <c r="W51" s="64">
        <v>7.0</v>
      </c>
      <c r="AS51" s="63">
        <f t="shared" si="1"/>
        <v>16</v>
      </c>
      <c r="AT51" s="63">
        <f t="shared" si="2"/>
        <v>6</v>
      </c>
      <c r="AU51" s="63">
        <f t="shared" si="3"/>
        <v>7</v>
      </c>
      <c r="AV51" s="63">
        <f t="shared" si="4"/>
        <v>10</v>
      </c>
      <c r="AW51" s="63">
        <f t="shared" si="5"/>
        <v>3</v>
      </c>
      <c r="AX51" s="67">
        <f t="shared" si="6"/>
        <v>0.00002884393508</v>
      </c>
      <c r="AY51" s="63">
        <v>104008.0</v>
      </c>
    </row>
    <row r="52" ht="15.75" customHeight="1">
      <c r="A52" s="63" t="s">
        <v>1045</v>
      </c>
      <c r="B52" s="63" t="s">
        <v>1046</v>
      </c>
      <c r="C52" s="63" t="s">
        <v>1047</v>
      </c>
      <c r="D52" s="63">
        <v>80020.0</v>
      </c>
      <c r="E52" s="63" t="s">
        <v>444</v>
      </c>
      <c r="F52" s="63">
        <v>359.0</v>
      </c>
      <c r="H52" s="63">
        <v>359.0</v>
      </c>
      <c r="I52" s="63">
        <v>3.0</v>
      </c>
      <c r="O52" s="63">
        <v>302.0</v>
      </c>
      <c r="P52" s="63">
        <v>57.0</v>
      </c>
      <c r="W52" s="64">
        <v>359.0</v>
      </c>
      <c r="Y52" s="63">
        <v>1.0</v>
      </c>
      <c r="AI52" s="63">
        <v>1.0</v>
      </c>
      <c r="AP52" s="63">
        <v>1.0</v>
      </c>
      <c r="AR52" s="63">
        <v>5.0</v>
      </c>
      <c r="AS52" s="63">
        <f t="shared" si="1"/>
        <v>722</v>
      </c>
      <c r="AT52" s="63">
        <f t="shared" si="2"/>
        <v>360</v>
      </c>
      <c r="AU52" s="63">
        <f t="shared" si="3"/>
        <v>360</v>
      </c>
      <c r="AV52" s="63">
        <f t="shared" si="4"/>
        <v>362</v>
      </c>
      <c r="AW52" s="63">
        <f t="shared" si="5"/>
        <v>2</v>
      </c>
      <c r="AX52" s="67">
        <f t="shared" si="6"/>
        <v>0.00001922929005</v>
      </c>
      <c r="AY52" s="63">
        <v>104008.0</v>
      </c>
    </row>
    <row r="53" ht="15.75" customHeight="1">
      <c r="A53" s="63" t="s">
        <v>640</v>
      </c>
      <c r="B53" s="63" t="s">
        <v>641</v>
      </c>
      <c r="C53" s="63" t="s">
        <v>642</v>
      </c>
      <c r="D53" s="63">
        <v>80016.0</v>
      </c>
      <c r="E53" s="63" t="s">
        <v>350</v>
      </c>
      <c r="F53" s="63">
        <v>23.0</v>
      </c>
      <c r="G53" s="63">
        <v>23.0</v>
      </c>
      <c r="I53" s="63">
        <v>31.0</v>
      </c>
      <c r="K53" s="63">
        <v>14.0</v>
      </c>
      <c r="L53" s="63">
        <v>2.0</v>
      </c>
      <c r="N53" s="63">
        <v>48.0</v>
      </c>
      <c r="U53" s="63">
        <v>1.0</v>
      </c>
      <c r="W53" s="64">
        <v>21.0</v>
      </c>
      <c r="X53" s="63">
        <v>21.0</v>
      </c>
      <c r="AS53" s="63">
        <f t="shared" si="1"/>
        <v>93</v>
      </c>
      <c r="AT53" s="63">
        <f t="shared" si="2"/>
        <v>49</v>
      </c>
      <c r="AU53" s="63">
        <f t="shared" si="3"/>
        <v>42</v>
      </c>
      <c r="AV53" s="63">
        <f t="shared" si="4"/>
        <v>44</v>
      </c>
      <c r="AW53" s="63">
        <f t="shared" si="5"/>
        <v>2</v>
      </c>
      <c r="AX53" s="67">
        <f t="shared" si="6"/>
        <v>0.00001922929005</v>
      </c>
      <c r="AY53" s="63">
        <v>104008.0</v>
      </c>
    </row>
    <row r="54" ht="15.75" customHeight="1">
      <c r="A54" s="63" t="s">
        <v>725</v>
      </c>
      <c r="B54" s="63" t="s">
        <v>726</v>
      </c>
      <c r="C54" s="63" t="s">
        <v>727</v>
      </c>
      <c r="D54" s="63">
        <v>80751.0</v>
      </c>
      <c r="E54" s="63" t="s">
        <v>728</v>
      </c>
      <c r="F54" s="63">
        <v>13.0</v>
      </c>
      <c r="G54" s="63">
        <v>1.0</v>
      </c>
      <c r="H54" s="63">
        <v>166.0</v>
      </c>
      <c r="I54" s="63">
        <v>26.0</v>
      </c>
      <c r="J54" s="63">
        <v>5.0</v>
      </c>
      <c r="M54" s="63">
        <v>73.0</v>
      </c>
      <c r="N54" s="63">
        <v>19.0</v>
      </c>
      <c r="O54" s="63">
        <v>162.0</v>
      </c>
      <c r="P54" s="63">
        <v>76.0</v>
      </c>
      <c r="U54" s="63">
        <v>5.0</v>
      </c>
      <c r="V54" s="63">
        <v>5.0</v>
      </c>
      <c r="W54" s="64">
        <v>14.0</v>
      </c>
      <c r="X54" s="63">
        <v>4.0</v>
      </c>
      <c r="AA54" s="63">
        <v>18.0</v>
      </c>
      <c r="AB54" s="63">
        <v>7.0</v>
      </c>
      <c r="AG54" s="63">
        <v>2.0</v>
      </c>
      <c r="AH54" s="63">
        <v>6.0</v>
      </c>
      <c r="AI54" s="63">
        <v>11.0</v>
      </c>
      <c r="AL54" s="63">
        <v>3.0</v>
      </c>
      <c r="AR54" s="63">
        <v>23.0</v>
      </c>
      <c r="AS54" s="63">
        <f t="shared" si="1"/>
        <v>309</v>
      </c>
      <c r="AT54" s="63">
        <f t="shared" si="2"/>
        <v>289</v>
      </c>
      <c r="AU54" s="63">
        <f t="shared" si="3"/>
        <v>18</v>
      </c>
      <c r="AV54" s="63">
        <f t="shared" si="4"/>
        <v>20</v>
      </c>
      <c r="AW54" s="63">
        <f t="shared" si="5"/>
        <v>2</v>
      </c>
      <c r="AX54" s="67">
        <f t="shared" si="6"/>
        <v>0.00001922929005</v>
      </c>
      <c r="AY54" s="63">
        <v>104008.0</v>
      </c>
    </row>
    <row r="55" ht="15.75" customHeight="1">
      <c r="A55" s="63" t="s">
        <v>924</v>
      </c>
      <c r="B55" s="63" t="s">
        <v>925</v>
      </c>
      <c r="C55" s="63" t="s">
        <v>926</v>
      </c>
      <c r="D55" s="63">
        <v>81052.0</v>
      </c>
      <c r="E55" s="63" t="s">
        <v>395</v>
      </c>
      <c r="F55" s="63">
        <v>3.0</v>
      </c>
      <c r="G55" s="63">
        <v>3.0</v>
      </c>
      <c r="H55" s="63">
        <v>10.0</v>
      </c>
      <c r="I55" s="63">
        <v>71.0</v>
      </c>
      <c r="K55" s="63">
        <v>48.0</v>
      </c>
      <c r="M55" s="63">
        <v>5.0</v>
      </c>
      <c r="N55" s="63">
        <v>37.0</v>
      </c>
      <c r="O55" s="63">
        <v>3.0</v>
      </c>
      <c r="P55" s="63">
        <v>95.0</v>
      </c>
      <c r="V55" s="63">
        <v>1.0</v>
      </c>
      <c r="W55" s="64">
        <v>1.0</v>
      </c>
      <c r="X55" s="63">
        <v>1.0</v>
      </c>
      <c r="Y55" s="63">
        <v>4.0</v>
      </c>
      <c r="Z55" s="63">
        <v>4.0</v>
      </c>
      <c r="AA55" s="63">
        <v>12.0</v>
      </c>
      <c r="AB55" s="63">
        <v>153.0</v>
      </c>
      <c r="AD55" s="63">
        <v>9.0</v>
      </c>
      <c r="AF55" s="63">
        <v>4.0</v>
      </c>
      <c r="AG55" s="63">
        <v>84.0</v>
      </c>
      <c r="AH55" s="63">
        <v>1.0</v>
      </c>
      <c r="AI55" s="63">
        <v>92.0</v>
      </c>
      <c r="AL55" s="63">
        <v>1.0</v>
      </c>
      <c r="AP55" s="63">
        <v>4.0</v>
      </c>
      <c r="AQ55" s="63">
        <v>4.0</v>
      </c>
      <c r="AR55" s="63">
        <v>20.0</v>
      </c>
      <c r="AS55" s="63">
        <f t="shared" si="1"/>
        <v>326</v>
      </c>
      <c r="AT55" s="63">
        <f t="shared" si="2"/>
        <v>314</v>
      </c>
      <c r="AU55" s="63">
        <f t="shared" si="3"/>
        <v>10</v>
      </c>
      <c r="AV55" s="63">
        <f t="shared" si="4"/>
        <v>12</v>
      </c>
      <c r="AW55" s="63">
        <f t="shared" si="5"/>
        <v>2</v>
      </c>
      <c r="AX55" s="67">
        <f t="shared" si="6"/>
        <v>0.00001922929005</v>
      </c>
      <c r="AY55" s="63">
        <v>104008.0</v>
      </c>
    </row>
    <row r="56" ht="15.75" customHeight="1">
      <c r="A56" s="63" t="s">
        <v>259</v>
      </c>
      <c r="B56" s="63" t="s">
        <v>260</v>
      </c>
      <c r="C56" s="63" t="s">
        <v>261</v>
      </c>
      <c r="D56" s="63">
        <v>80126.0</v>
      </c>
      <c r="E56" s="63" t="s">
        <v>235</v>
      </c>
      <c r="F56" s="63">
        <v>3.0</v>
      </c>
      <c r="G56" s="63">
        <v>3.0</v>
      </c>
      <c r="H56" s="63">
        <v>1.0</v>
      </c>
      <c r="L56" s="63">
        <v>12.0</v>
      </c>
      <c r="N56" s="63">
        <v>15.0</v>
      </c>
      <c r="W56" s="64">
        <v>1.0</v>
      </c>
      <c r="X56" s="63">
        <v>1.0</v>
      </c>
      <c r="AS56" s="63">
        <f t="shared" si="1"/>
        <v>19</v>
      </c>
      <c r="AT56" s="63">
        <f t="shared" si="2"/>
        <v>15</v>
      </c>
      <c r="AU56" s="63">
        <f t="shared" si="3"/>
        <v>2</v>
      </c>
      <c r="AV56" s="63">
        <f t="shared" si="4"/>
        <v>4</v>
      </c>
      <c r="AW56" s="63">
        <f t="shared" si="5"/>
        <v>2</v>
      </c>
      <c r="AX56" s="67">
        <f t="shared" si="6"/>
        <v>0.00001922929005</v>
      </c>
      <c r="AY56" s="63">
        <v>104008.0</v>
      </c>
    </row>
    <row r="57" ht="15.75" customHeight="1">
      <c r="A57" s="63" t="s">
        <v>937</v>
      </c>
      <c r="B57" s="63" t="s">
        <v>938</v>
      </c>
      <c r="C57" s="63" t="s">
        <v>939</v>
      </c>
      <c r="D57" s="63">
        <v>80908.0</v>
      </c>
      <c r="E57" s="63" t="s">
        <v>243</v>
      </c>
      <c r="F57" s="63">
        <v>5.0</v>
      </c>
      <c r="H57" s="63">
        <v>1.0</v>
      </c>
      <c r="I57" s="63">
        <v>3.0</v>
      </c>
      <c r="K57" s="63">
        <v>8.0</v>
      </c>
      <c r="L57" s="63">
        <v>16.0</v>
      </c>
      <c r="N57" s="63">
        <v>25.0</v>
      </c>
      <c r="W57" s="64">
        <v>6.0</v>
      </c>
      <c r="AE57" s="63">
        <v>3.0</v>
      </c>
      <c r="AG57" s="63">
        <v>3.0</v>
      </c>
      <c r="AR57" s="63">
        <v>15.0</v>
      </c>
      <c r="AS57" s="63">
        <f t="shared" si="1"/>
        <v>36</v>
      </c>
      <c r="AT57" s="63">
        <f t="shared" si="2"/>
        <v>28</v>
      </c>
      <c r="AU57" s="63">
        <f t="shared" si="3"/>
        <v>6</v>
      </c>
      <c r="AV57" s="63">
        <f t="shared" si="4"/>
        <v>8</v>
      </c>
      <c r="AW57" s="63">
        <f t="shared" si="5"/>
        <v>2</v>
      </c>
      <c r="AX57" s="67">
        <f t="shared" si="6"/>
        <v>0.00001922929005</v>
      </c>
      <c r="AY57" s="63">
        <v>104008.0</v>
      </c>
    </row>
    <row r="58" ht="15.75" customHeight="1">
      <c r="A58" s="63" t="s">
        <v>634</v>
      </c>
      <c r="B58" s="63" t="s">
        <v>635</v>
      </c>
      <c r="C58" s="63" t="s">
        <v>636</v>
      </c>
      <c r="D58" s="63">
        <v>80908.0</v>
      </c>
      <c r="E58" s="63" t="s">
        <v>243</v>
      </c>
      <c r="F58" s="63">
        <v>1.0</v>
      </c>
      <c r="G58" s="63">
        <v>1.0</v>
      </c>
      <c r="I58" s="63">
        <v>6.0</v>
      </c>
      <c r="O58" s="63">
        <v>6.0</v>
      </c>
      <c r="W58" s="64"/>
      <c r="AS58" s="63">
        <f t="shared" si="1"/>
        <v>8</v>
      </c>
      <c r="AT58" s="63">
        <f t="shared" si="2"/>
        <v>6</v>
      </c>
      <c r="AU58" s="63">
        <f t="shared" si="3"/>
        <v>0</v>
      </c>
      <c r="AV58" s="63">
        <f t="shared" si="4"/>
        <v>2</v>
      </c>
      <c r="AW58" s="63">
        <f t="shared" si="5"/>
        <v>2</v>
      </c>
      <c r="AX58" s="67">
        <f t="shared" si="6"/>
        <v>0.00001922929005</v>
      </c>
      <c r="AY58" s="63">
        <v>104008.0</v>
      </c>
    </row>
    <row r="59" ht="15.75" customHeight="1">
      <c r="A59" s="63" t="s">
        <v>819</v>
      </c>
      <c r="B59" s="63" t="s">
        <v>820</v>
      </c>
      <c r="C59" s="63" t="s">
        <v>821</v>
      </c>
      <c r="D59" s="63">
        <v>81003.0</v>
      </c>
      <c r="E59" s="63" t="s">
        <v>822</v>
      </c>
      <c r="F59" s="63">
        <v>28.0</v>
      </c>
      <c r="G59" s="63">
        <v>1.0</v>
      </c>
      <c r="H59" s="63">
        <v>205.0</v>
      </c>
      <c r="I59" s="63">
        <v>333.0</v>
      </c>
      <c r="K59" s="63">
        <v>9.0</v>
      </c>
      <c r="L59" s="63">
        <v>12.0</v>
      </c>
      <c r="N59" s="63">
        <v>460.0</v>
      </c>
      <c r="O59" s="63">
        <v>70.0</v>
      </c>
      <c r="P59" s="63">
        <v>8.0</v>
      </c>
      <c r="S59" s="63">
        <v>1.0</v>
      </c>
      <c r="T59" s="63">
        <v>1.0</v>
      </c>
      <c r="W59" s="64">
        <v>45.0</v>
      </c>
      <c r="X59" s="63">
        <v>2.0</v>
      </c>
      <c r="Y59" s="63">
        <v>6.0</v>
      </c>
      <c r="AA59" s="63">
        <v>8.0</v>
      </c>
      <c r="AB59" s="63">
        <v>35.0</v>
      </c>
      <c r="AG59" s="63">
        <v>49.0</v>
      </c>
      <c r="AR59" s="63">
        <v>17.12</v>
      </c>
      <c r="AS59" s="63">
        <f t="shared" si="1"/>
        <v>637</v>
      </c>
      <c r="AT59" s="63">
        <f t="shared" si="2"/>
        <v>589</v>
      </c>
      <c r="AU59" s="63">
        <f t="shared" si="3"/>
        <v>47</v>
      </c>
      <c r="AV59" s="63">
        <f t="shared" si="4"/>
        <v>48</v>
      </c>
      <c r="AW59" s="63">
        <f t="shared" si="5"/>
        <v>1</v>
      </c>
      <c r="AX59" s="67">
        <f t="shared" si="6"/>
        <v>0.000009614645027</v>
      </c>
      <c r="AY59" s="63">
        <v>104008.0</v>
      </c>
    </row>
    <row r="60" ht="15.75" customHeight="1">
      <c r="A60" s="63" t="s">
        <v>838</v>
      </c>
      <c r="B60" s="63" t="s">
        <v>839</v>
      </c>
      <c r="C60" s="63" t="s">
        <v>840</v>
      </c>
      <c r="D60" s="63">
        <v>80517.0</v>
      </c>
      <c r="E60" s="63" t="s">
        <v>275</v>
      </c>
      <c r="F60" s="63">
        <v>1.0</v>
      </c>
      <c r="I60" s="63">
        <v>34.0</v>
      </c>
      <c r="N60" s="63">
        <v>29.0</v>
      </c>
      <c r="O60" s="63">
        <v>1.0</v>
      </c>
      <c r="U60" s="63">
        <v>2.0</v>
      </c>
      <c r="W60" s="64">
        <v>2.0</v>
      </c>
      <c r="AS60" s="63">
        <f t="shared" si="1"/>
        <v>35</v>
      </c>
      <c r="AT60" s="63">
        <f t="shared" si="2"/>
        <v>32</v>
      </c>
      <c r="AU60" s="63">
        <f t="shared" si="3"/>
        <v>2</v>
      </c>
      <c r="AV60" s="63">
        <f t="shared" si="4"/>
        <v>3</v>
      </c>
      <c r="AW60" s="63">
        <f t="shared" si="5"/>
        <v>1</v>
      </c>
      <c r="AX60" s="67">
        <f t="shared" si="6"/>
        <v>0.000009614645027</v>
      </c>
      <c r="AY60" s="63">
        <v>104008.0</v>
      </c>
    </row>
    <row r="61" ht="15.75" customHeight="1">
      <c r="A61" s="63" t="s">
        <v>768</v>
      </c>
      <c r="B61" s="63" t="s">
        <v>769</v>
      </c>
      <c r="C61" s="63" t="s">
        <v>770</v>
      </c>
      <c r="D61" s="63">
        <v>80038.0</v>
      </c>
      <c r="E61" s="63" t="s">
        <v>444</v>
      </c>
      <c r="G61" s="63">
        <v>10.0</v>
      </c>
      <c r="L61" s="63">
        <v>229.0</v>
      </c>
      <c r="M61" s="63">
        <v>1.0</v>
      </c>
      <c r="N61" s="63">
        <v>208.0</v>
      </c>
      <c r="S61" s="63">
        <v>1.0</v>
      </c>
      <c r="T61" s="63">
        <v>1.0</v>
      </c>
      <c r="W61" s="64"/>
      <c r="X61" s="63">
        <v>29.0</v>
      </c>
      <c r="Z61" s="63">
        <v>2.0</v>
      </c>
      <c r="AE61" s="63">
        <v>99.0</v>
      </c>
      <c r="AG61" s="63">
        <v>91.0</v>
      </c>
      <c r="AL61" s="63">
        <v>5.0</v>
      </c>
      <c r="AQ61" s="63">
        <v>5.0</v>
      </c>
      <c r="AR61" s="63">
        <v>32.0</v>
      </c>
      <c r="AS61" s="63">
        <f t="shared" si="1"/>
        <v>341</v>
      </c>
      <c r="AT61" s="63">
        <f t="shared" si="2"/>
        <v>306</v>
      </c>
      <c r="AU61" s="63">
        <f t="shared" si="3"/>
        <v>34</v>
      </c>
      <c r="AV61" s="63">
        <f t="shared" si="4"/>
        <v>35</v>
      </c>
      <c r="AW61" s="63">
        <f t="shared" si="5"/>
        <v>1</v>
      </c>
      <c r="AX61" s="67">
        <f t="shared" si="6"/>
        <v>0.000009614645027</v>
      </c>
      <c r="AY61" s="63">
        <v>104008.0</v>
      </c>
    </row>
    <row r="62" ht="15.75" customHeight="1">
      <c r="A62" s="63" t="s">
        <v>448</v>
      </c>
      <c r="B62" s="63" t="s">
        <v>449</v>
      </c>
      <c r="C62" s="63" t="s">
        <v>450</v>
      </c>
      <c r="D62" s="63">
        <v>80007.0</v>
      </c>
      <c r="E62" s="63" t="s">
        <v>239</v>
      </c>
      <c r="F62" s="63">
        <v>8.0</v>
      </c>
      <c r="G62" s="63">
        <v>8.0</v>
      </c>
      <c r="H62" s="63">
        <v>2.0</v>
      </c>
      <c r="I62" s="63">
        <v>21.0</v>
      </c>
      <c r="K62" s="63">
        <v>26.0</v>
      </c>
      <c r="L62" s="63">
        <v>24.0</v>
      </c>
      <c r="M62" s="63">
        <v>2.0</v>
      </c>
      <c r="N62" s="63">
        <v>74.0</v>
      </c>
      <c r="U62" s="63">
        <v>2.0</v>
      </c>
      <c r="W62" s="64">
        <v>7.0</v>
      </c>
      <c r="X62" s="63">
        <v>7.0</v>
      </c>
      <c r="AB62" s="63">
        <v>3.0</v>
      </c>
      <c r="AD62" s="63">
        <v>3.0</v>
      </c>
      <c r="AE62" s="63">
        <v>1.0</v>
      </c>
      <c r="AG62" s="63">
        <v>7.0</v>
      </c>
      <c r="AR62" s="63">
        <v>31.0</v>
      </c>
      <c r="AS62" s="63">
        <f t="shared" si="1"/>
        <v>98</v>
      </c>
      <c r="AT62" s="63">
        <f t="shared" si="2"/>
        <v>83</v>
      </c>
      <c r="AU62" s="63">
        <f t="shared" si="3"/>
        <v>14</v>
      </c>
      <c r="AV62" s="63">
        <f t="shared" si="4"/>
        <v>15</v>
      </c>
      <c r="AW62" s="63">
        <f t="shared" si="5"/>
        <v>1</v>
      </c>
      <c r="AX62" s="67">
        <f t="shared" si="6"/>
        <v>0.000009614645027</v>
      </c>
      <c r="AY62" s="63">
        <v>104008.0</v>
      </c>
    </row>
    <row r="63" ht="15.75" customHeight="1">
      <c r="A63" s="63" t="s">
        <v>911</v>
      </c>
      <c r="B63" s="63" t="s">
        <v>912</v>
      </c>
      <c r="C63" s="63" t="s">
        <v>913</v>
      </c>
      <c r="D63" s="63">
        <v>80829.0</v>
      </c>
      <c r="E63" s="63" t="s">
        <v>243</v>
      </c>
      <c r="I63" s="63">
        <v>26.0</v>
      </c>
      <c r="M63" s="63">
        <v>3.0</v>
      </c>
      <c r="N63" s="63">
        <v>26.0</v>
      </c>
      <c r="O63" s="63">
        <v>1.0</v>
      </c>
      <c r="U63" s="63">
        <v>1.0</v>
      </c>
      <c r="W63" s="64"/>
      <c r="AS63" s="63">
        <f t="shared" si="1"/>
        <v>29</v>
      </c>
      <c r="AT63" s="63">
        <f t="shared" si="2"/>
        <v>28</v>
      </c>
      <c r="AU63" s="63">
        <f t="shared" si="3"/>
        <v>0</v>
      </c>
      <c r="AV63" s="63">
        <f t="shared" si="4"/>
        <v>1</v>
      </c>
      <c r="AW63" s="63">
        <f t="shared" si="5"/>
        <v>1</v>
      </c>
      <c r="AX63" s="67">
        <f t="shared" si="6"/>
        <v>0.000009614645027</v>
      </c>
      <c r="AY63" s="63">
        <v>104008.0</v>
      </c>
    </row>
    <row r="64" ht="15.75" customHeight="1">
      <c r="A64" s="63" t="s">
        <v>969</v>
      </c>
      <c r="B64" s="63" t="s">
        <v>970</v>
      </c>
      <c r="C64" s="63" t="s">
        <v>971</v>
      </c>
      <c r="D64" s="63">
        <v>80521.0</v>
      </c>
      <c r="E64" s="63" t="s">
        <v>275</v>
      </c>
      <c r="F64" s="63">
        <v>5.0</v>
      </c>
      <c r="G64" s="63">
        <v>5.0</v>
      </c>
      <c r="L64" s="63">
        <v>36.0</v>
      </c>
      <c r="N64" s="63">
        <v>31.0</v>
      </c>
      <c r="P64" s="63">
        <v>5.0</v>
      </c>
      <c r="U64" s="63">
        <v>1.0</v>
      </c>
      <c r="W64" s="64">
        <v>4.0</v>
      </c>
      <c r="X64" s="63">
        <v>4.0</v>
      </c>
      <c r="AE64" s="63">
        <v>22.0</v>
      </c>
      <c r="AG64" s="63">
        <v>22.0</v>
      </c>
      <c r="AR64" s="63">
        <v>14.0</v>
      </c>
      <c r="AS64" s="63">
        <f t="shared" si="1"/>
        <v>68</v>
      </c>
      <c r="AT64" s="63">
        <f t="shared" si="2"/>
        <v>59</v>
      </c>
      <c r="AU64" s="63">
        <f t="shared" si="3"/>
        <v>8</v>
      </c>
      <c r="AV64" s="63">
        <f t="shared" si="4"/>
        <v>9</v>
      </c>
      <c r="AW64" s="63">
        <f t="shared" si="5"/>
        <v>1</v>
      </c>
      <c r="AX64" s="67">
        <f t="shared" si="6"/>
        <v>0.000009614645027</v>
      </c>
      <c r="AY64" s="63">
        <v>104008.0</v>
      </c>
    </row>
    <row r="65" ht="15.75" customHeight="1">
      <c r="A65" s="63" t="s">
        <v>765</v>
      </c>
      <c r="B65" s="63" t="s">
        <v>766</v>
      </c>
      <c r="C65" s="63" t="s">
        <v>767</v>
      </c>
      <c r="D65" s="63">
        <v>80121.0</v>
      </c>
      <c r="E65" s="63" t="s">
        <v>350</v>
      </c>
      <c r="G65" s="63">
        <v>12.0</v>
      </c>
      <c r="H65" s="63">
        <v>2.0</v>
      </c>
      <c r="I65" s="63">
        <v>10.0</v>
      </c>
      <c r="K65" s="63">
        <v>5.0</v>
      </c>
      <c r="L65" s="63">
        <v>19.0</v>
      </c>
      <c r="N65" s="63">
        <v>35.0</v>
      </c>
      <c r="W65" s="64"/>
      <c r="X65" s="63">
        <v>12.0</v>
      </c>
      <c r="AS65" s="63">
        <f t="shared" si="1"/>
        <v>48</v>
      </c>
      <c r="AT65" s="63">
        <f t="shared" si="2"/>
        <v>35</v>
      </c>
      <c r="AU65" s="63">
        <f t="shared" si="3"/>
        <v>12</v>
      </c>
      <c r="AV65" s="63">
        <f t="shared" si="4"/>
        <v>13</v>
      </c>
      <c r="AW65" s="63">
        <f t="shared" si="5"/>
        <v>1</v>
      </c>
      <c r="AX65" s="67">
        <f t="shared" si="6"/>
        <v>0.000009614645027</v>
      </c>
      <c r="AY65" s="63">
        <v>104008.0</v>
      </c>
    </row>
    <row r="66" ht="15.75" customHeight="1">
      <c r="A66" s="63" t="s">
        <v>668</v>
      </c>
      <c r="B66" s="63" t="s">
        <v>669</v>
      </c>
      <c r="C66" s="63" t="s">
        <v>670</v>
      </c>
      <c r="D66" s="63">
        <v>80905.0</v>
      </c>
      <c r="E66" s="63" t="s">
        <v>243</v>
      </c>
      <c r="F66" s="63">
        <v>127.0</v>
      </c>
      <c r="G66" s="63">
        <v>8.0</v>
      </c>
      <c r="H66" s="63">
        <v>4689.0</v>
      </c>
      <c r="I66" s="63">
        <v>1151.0</v>
      </c>
      <c r="J66" s="63">
        <v>820.0</v>
      </c>
      <c r="K66" s="63">
        <v>782.0</v>
      </c>
      <c r="L66" s="63">
        <v>936.0</v>
      </c>
      <c r="M66" s="63">
        <v>694.0</v>
      </c>
      <c r="N66" s="63">
        <v>3999.0</v>
      </c>
      <c r="O66" s="63">
        <v>2945.0</v>
      </c>
      <c r="P66" s="63">
        <v>180.0</v>
      </c>
      <c r="Q66" s="63">
        <v>5.0</v>
      </c>
      <c r="S66" s="63">
        <v>7.0</v>
      </c>
      <c r="U66" s="63">
        <v>1144.0</v>
      </c>
      <c r="V66" s="63">
        <v>814.0</v>
      </c>
      <c r="W66" s="64">
        <v>106.0</v>
      </c>
      <c r="X66" s="63">
        <v>10.0</v>
      </c>
      <c r="Y66" s="63">
        <v>16.0</v>
      </c>
      <c r="Z66" s="63">
        <v>17.0</v>
      </c>
      <c r="AA66" s="63">
        <v>167.0</v>
      </c>
      <c r="AB66" s="63">
        <v>100.0</v>
      </c>
      <c r="AC66" s="63">
        <v>4.0</v>
      </c>
      <c r="AD66" s="63">
        <v>302.0</v>
      </c>
      <c r="AE66" s="63">
        <v>580.0</v>
      </c>
      <c r="AF66" s="63">
        <v>94.0</v>
      </c>
      <c r="AG66" s="63">
        <v>1120.0</v>
      </c>
      <c r="AH66" s="63">
        <v>39.0</v>
      </c>
      <c r="AI66" s="63">
        <v>42.0</v>
      </c>
      <c r="AL66" s="63">
        <v>17.0</v>
      </c>
      <c r="AM66" s="63">
        <v>1.0</v>
      </c>
      <c r="AN66" s="63">
        <v>32.0</v>
      </c>
      <c r="AO66" s="63">
        <v>4.0</v>
      </c>
      <c r="AP66" s="63">
        <v>5.0</v>
      </c>
      <c r="AQ66" s="63">
        <v>17.0</v>
      </c>
      <c r="AR66" s="63">
        <v>7.5</v>
      </c>
      <c r="AS66" s="63">
        <f t="shared" si="1"/>
        <v>10487</v>
      </c>
      <c r="AT66" s="63">
        <f t="shared" si="2"/>
        <v>10349</v>
      </c>
      <c r="AU66" s="63">
        <f t="shared" si="3"/>
        <v>138</v>
      </c>
      <c r="AV66" s="63">
        <f t="shared" si="4"/>
        <v>138</v>
      </c>
      <c r="AW66" s="63">
        <f t="shared" si="5"/>
        <v>0</v>
      </c>
      <c r="AX66" s="67">
        <f t="shared" si="6"/>
        <v>0</v>
      </c>
      <c r="AY66" s="63">
        <v>104008.0</v>
      </c>
    </row>
    <row r="67" ht="15.75" customHeight="1">
      <c r="A67" s="61" t="s">
        <v>661</v>
      </c>
      <c r="B67" s="66" t="s">
        <v>662</v>
      </c>
      <c r="C67" s="61" t="s">
        <v>663</v>
      </c>
      <c r="D67" s="61">
        <v>81212.0</v>
      </c>
      <c r="E67" s="61" t="s">
        <v>298</v>
      </c>
      <c r="F67" s="61">
        <v>31.0</v>
      </c>
      <c r="G67" s="61"/>
      <c r="H67" s="61">
        <v>386.0</v>
      </c>
      <c r="I67" s="61">
        <v>193.0</v>
      </c>
      <c r="J67" s="61"/>
      <c r="K67" s="61">
        <v>3.0</v>
      </c>
      <c r="L67" s="61"/>
      <c r="M67" s="61">
        <v>450.0</v>
      </c>
      <c r="N67" s="61">
        <v>333.0</v>
      </c>
      <c r="O67" s="61">
        <v>532.0</v>
      </c>
      <c r="P67" s="61">
        <v>141.0</v>
      </c>
      <c r="Q67" s="61"/>
      <c r="R67" s="61"/>
      <c r="S67" s="61">
        <v>4.0</v>
      </c>
      <c r="T67" s="61"/>
      <c r="U67" s="61">
        <v>7.0</v>
      </c>
      <c r="V67" s="61">
        <v>7.0</v>
      </c>
      <c r="W67" s="61">
        <v>39.0</v>
      </c>
      <c r="X67" s="61"/>
      <c r="Y67" s="61">
        <v>3.0</v>
      </c>
      <c r="Z67" s="61"/>
      <c r="AA67" s="61">
        <v>65.0</v>
      </c>
      <c r="AB67" s="61">
        <v>27.0</v>
      </c>
      <c r="AC67" s="61"/>
      <c r="AD67" s="61"/>
      <c r="AE67" s="61"/>
      <c r="AF67" s="61">
        <v>24.0</v>
      </c>
      <c r="AG67" s="61">
        <v>87.0</v>
      </c>
      <c r="AH67" s="61">
        <v>17.0</v>
      </c>
      <c r="AI67" s="61">
        <v>2.0</v>
      </c>
      <c r="AJ67" s="61"/>
      <c r="AK67" s="61"/>
      <c r="AL67" s="61">
        <v>2.0</v>
      </c>
      <c r="AM67" s="61"/>
      <c r="AN67" s="61">
        <v>1.0</v>
      </c>
      <c r="AO67" s="61"/>
      <c r="AP67" s="61">
        <v>10.0</v>
      </c>
      <c r="AQ67" s="61"/>
      <c r="AR67" s="61"/>
      <c r="AS67" s="63">
        <f t="shared" si="1"/>
        <v>1182</v>
      </c>
      <c r="AT67" s="63">
        <f t="shared" si="2"/>
        <v>1133</v>
      </c>
      <c r="AU67" s="63">
        <f t="shared" si="3"/>
        <v>49</v>
      </c>
      <c r="AV67" s="63">
        <f t="shared" si="4"/>
        <v>49</v>
      </c>
      <c r="AW67" s="63">
        <f t="shared" si="5"/>
        <v>0</v>
      </c>
      <c r="AX67" s="67">
        <f t="shared" si="6"/>
        <v>0</v>
      </c>
      <c r="AY67" s="63">
        <v>104008.0</v>
      </c>
    </row>
    <row r="68" ht="15.75" customHeight="1">
      <c r="A68" s="63" t="s">
        <v>381</v>
      </c>
      <c r="B68" s="63" t="s">
        <v>382</v>
      </c>
      <c r="C68" s="63" t="s">
        <v>383</v>
      </c>
      <c r="D68" s="63">
        <v>81230.0</v>
      </c>
      <c r="E68" s="63" t="s">
        <v>384</v>
      </c>
      <c r="F68" s="63">
        <v>15.0</v>
      </c>
      <c r="H68" s="63">
        <v>15.0</v>
      </c>
      <c r="O68" s="63">
        <v>15.0</v>
      </c>
      <c r="W68" s="64">
        <v>15.0</v>
      </c>
      <c r="AS68" s="63">
        <f t="shared" si="1"/>
        <v>30</v>
      </c>
      <c r="AT68" s="63">
        <f t="shared" si="2"/>
        <v>15</v>
      </c>
      <c r="AU68" s="63">
        <f t="shared" si="3"/>
        <v>15</v>
      </c>
      <c r="AV68" s="63">
        <f t="shared" si="4"/>
        <v>15</v>
      </c>
      <c r="AW68" s="63">
        <f t="shared" si="5"/>
        <v>0</v>
      </c>
      <c r="AX68" s="67">
        <f t="shared" si="6"/>
        <v>0</v>
      </c>
      <c r="AY68" s="63">
        <v>104008.0</v>
      </c>
    </row>
    <row r="69" ht="15.75" customHeight="1">
      <c r="A69" s="63" t="s">
        <v>707</v>
      </c>
      <c r="B69" s="63" t="s">
        <v>708</v>
      </c>
      <c r="C69" s="63" t="s">
        <v>709</v>
      </c>
      <c r="D69" s="63">
        <v>80525.0</v>
      </c>
      <c r="E69" s="63" t="s">
        <v>275</v>
      </c>
      <c r="F69" s="63">
        <v>30.0</v>
      </c>
      <c r="G69" s="63">
        <v>1.0</v>
      </c>
      <c r="H69" s="63">
        <v>1566.0</v>
      </c>
      <c r="I69" s="63">
        <v>616.0</v>
      </c>
      <c r="J69" s="63">
        <v>153.0</v>
      </c>
      <c r="K69" s="63">
        <v>67.0</v>
      </c>
      <c r="L69" s="63">
        <v>24.0</v>
      </c>
      <c r="M69" s="63">
        <v>261.0</v>
      </c>
      <c r="N69" s="63">
        <v>961.0</v>
      </c>
      <c r="O69" s="63">
        <v>1337.0</v>
      </c>
      <c r="P69" s="63">
        <v>60.0</v>
      </c>
      <c r="Q69" s="63">
        <v>4.0</v>
      </c>
      <c r="R69" s="63">
        <v>12.0</v>
      </c>
      <c r="S69" s="63">
        <v>1.0</v>
      </c>
      <c r="U69" s="63">
        <v>167.0</v>
      </c>
      <c r="V69" s="63">
        <v>153.0</v>
      </c>
      <c r="W69" s="64">
        <v>20.0</v>
      </c>
      <c r="X69" s="63">
        <v>3.0</v>
      </c>
      <c r="Y69" s="63">
        <v>1.0</v>
      </c>
      <c r="Z69" s="63">
        <v>1.0</v>
      </c>
      <c r="AA69" s="63">
        <v>16.0</v>
      </c>
      <c r="AB69" s="63">
        <v>10.0</v>
      </c>
      <c r="AD69" s="63">
        <v>8.0</v>
      </c>
      <c r="AE69" s="63">
        <v>26.0</v>
      </c>
      <c r="AF69" s="63">
        <v>23.0</v>
      </c>
      <c r="AG69" s="63">
        <v>52.0</v>
      </c>
      <c r="AH69" s="63">
        <v>22.0</v>
      </c>
      <c r="AN69" s="63">
        <v>1.0</v>
      </c>
      <c r="AP69" s="63">
        <v>1.0</v>
      </c>
      <c r="AQ69" s="63">
        <v>9.0</v>
      </c>
      <c r="AR69" s="63">
        <v>5.67</v>
      </c>
      <c r="AS69" s="63">
        <f t="shared" si="1"/>
        <v>2803</v>
      </c>
      <c r="AT69" s="63">
        <f t="shared" si="2"/>
        <v>2770</v>
      </c>
      <c r="AU69" s="63">
        <f t="shared" si="3"/>
        <v>33</v>
      </c>
      <c r="AV69" s="63">
        <f t="shared" si="4"/>
        <v>33</v>
      </c>
      <c r="AW69" s="63">
        <f t="shared" si="5"/>
        <v>0</v>
      </c>
      <c r="AX69" s="67">
        <f t="shared" si="6"/>
        <v>0</v>
      </c>
      <c r="AY69" s="63">
        <v>104008.0</v>
      </c>
    </row>
    <row r="70" ht="15.75" customHeight="1">
      <c r="A70" s="63" t="s">
        <v>1016</v>
      </c>
      <c r="B70" s="63" t="s">
        <v>1017</v>
      </c>
      <c r="C70" s="63" t="s">
        <v>1018</v>
      </c>
      <c r="D70" s="63">
        <v>81435.0</v>
      </c>
      <c r="E70" s="63" t="s">
        <v>1019</v>
      </c>
      <c r="F70" s="63">
        <v>1.0</v>
      </c>
      <c r="H70" s="63">
        <v>34.0</v>
      </c>
      <c r="O70" s="63">
        <v>33.0</v>
      </c>
      <c r="P70" s="63">
        <v>2.0</v>
      </c>
      <c r="W70" s="64"/>
      <c r="AS70" s="63">
        <f t="shared" si="1"/>
        <v>35</v>
      </c>
      <c r="AT70" s="63">
        <f t="shared" si="2"/>
        <v>35</v>
      </c>
      <c r="AU70" s="63">
        <f t="shared" si="3"/>
        <v>0</v>
      </c>
      <c r="AV70" s="63">
        <f t="shared" si="4"/>
        <v>0</v>
      </c>
      <c r="AW70" s="63">
        <f t="shared" si="5"/>
        <v>0</v>
      </c>
      <c r="AX70" s="67">
        <f t="shared" si="6"/>
        <v>0</v>
      </c>
      <c r="AY70" s="63">
        <v>104008.0</v>
      </c>
    </row>
    <row r="71" ht="15.75" customHeight="1">
      <c r="A71" s="63" t="s">
        <v>943</v>
      </c>
      <c r="B71" s="63" t="s">
        <v>944</v>
      </c>
      <c r="C71" s="63" t="s">
        <v>945</v>
      </c>
      <c r="D71" s="63">
        <v>80443.0</v>
      </c>
      <c r="E71" s="63" t="s">
        <v>283</v>
      </c>
      <c r="F71" s="63">
        <v>11.0</v>
      </c>
      <c r="H71" s="63">
        <v>137.0</v>
      </c>
      <c r="I71" s="63">
        <v>30.0</v>
      </c>
      <c r="K71" s="63">
        <v>64.0</v>
      </c>
      <c r="L71" s="63">
        <v>81.0</v>
      </c>
      <c r="M71" s="63">
        <v>60.0</v>
      </c>
      <c r="N71" s="63">
        <v>215.0</v>
      </c>
      <c r="O71" s="63">
        <v>152.0</v>
      </c>
      <c r="P71" s="63">
        <v>3.0</v>
      </c>
      <c r="U71" s="63">
        <v>4.0</v>
      </c>
      <c r="W71" s="64">
        <v>15.0</v>
      </c>
      <c r="Y71" s="63">
        <v>13.0</v>
      </c>
      <c r="AA71" s="63">
        <v>4.0</v>
      </c>
      <c r="AB71" s="63">
        <v>3.0</v>
      </c>
      <c r="AD71" s="63">
        <v>3.0</v>
      </c>
      <c r="AE71" s="63">
        <v>30.0</v>
      </c>
      <c r="AF71" s="63">
        <v>2.0</v>
      </c>
      <c r="AG71" s="63">
        <v>46.0</v>
      </c>
      <c r="AH71" s="63">
        <v>1.0</v>
      </c>
      <c r="AI71" s="63">
        <v>1.0</v>
      </c>
      <c r="AL71" s="63">
        <v>1.0</v>
      </c>
      <c r="AR71" s="63">
        <v>16.0</v>
      </c>
      <c r="AS71" s="63">
        <f t="shared" si="1"/>
        <v>438</v>
      </c>
      <c r="AT71" s="63">
        <f t="shared" si="2"/>
        <v>423</v>
      </c>
      <c r="AU71" s="63">
        <f t="shared" si="3"/>
        <v>15</v>
      </c>
      <c r="AV71" s="63">
        <f t="shared" si="4"/>
        <v>15</v>
      </c>
      <c r="AW71" s="63">
        <f t="shared" si="5"/>
        <v>0</v>
      </c>
      <c r="AX71" s="67">
        <f t="shared" si="6"/>
        <v>0</v>
      </c>
      <c r="AY71" s="63">
        <v>104008.0</v>
      </c>
    </row>
    <row r="72" ht="15.75" customHeight="1">
      <c r="A72" s="63" t="s">
        <v>400</v>
      </c>
      <c r="B72" s="63" t="s">
        <v>401</v>
      </c>
      <c r="C72" s="63" t="s">
        <v>402</v>
      </c>
      <c r="D72" s="63">
        <v>81067.0</v>
      </c>
      <c r="E72" s="63" t="s">
        <v>388</v>
      </c>
      <c r="H72" s="63">
        <v>318.0</v>
      </c>
      <c r="I72" s="63">
        <v>9.0</v>
      </c>
      <c r="M72" s="63">
        <v>22.0</v>
      </c>
      <c r="N72" s="63">
        <v>41.0</v>
      </c>
      <c r="O72" s="63">
        <v>116.0</v>
      </c>
      <c r="P72" s="63">
        <v>187.0</v>
      </c>
      <c r="U72" s="63">
        <v>5.0</v>
      </c>
      <c r="W72" s="64"/>
      <c r="AA72" s="63">
        <v>17.0</v>
      </c>
      <c r="AB72" s="63">
        <v>81.0</v>
      </c>
      <c r="AG72" s="63">
        <v>33.0</v>
      </c>
      <c r="AH72" s="63">
        <v>6.0</v>
      </c>
      <c r="AI72" s="63">
        <v>59.0</v>
      </c>
      <c r="AR72" s="63">
        <v>3.0</v>
      </c>
      <c r="AS72" s="63">
        <f t="shared" si="1"/>
        <v>447</v>
      </c>
      <c r="AT72" s="63">
        <f t="shared" si="2"/>
        <v>447</v>
      </c>
      <c r="AU72" s="63">
        <f t="shared" si="3"/>
        <v>0</v>
      </c>
      <c r="AV72" s="63">
        <f t="shared" si="4"/>
        <v>0</v>
      </c>
      <c r="AW72" s="63">
        <f t="shared" si="5"/>
        <v>0</v>
      </c>
      <c r="AX72" s="67">
        <f t="shared" si="6"/>
        <v>0</v>
      </c>
      <c r="AY72" s="63">
        <v>104008.0</v>
      </c>
    </row>
    <row r="73" ht="15.75" customHeight="1">
      <c r="A73" s="63" t="s">
        <v>874</v>
      </c>
      <c r="B73" s="63" t="s">
        <v>875</v>
      </c>
      <c r="C73" s="63" t="s">
        <v>876</v>
      </c>
      <c r="D73" s="63">
        <v>80223.0</v>
      </c>
      <c r="E73" s="63" t="s">
        <v>421</v>
      </c>
      <c r="W73" s="64"/>
      <c r="AS73" s="63">
        <f t="shared" si="1"/>
        <v>0</v>
      </c>
      <c r="AT73" s="63">
        <f t="shared" si="2"/>
        <v>0</v>
      </c>
      <c r="AU73" s="63">
        <f t="shared" si="3"/>
        <v>0</v>
      </c>
      <c r="AV73" s="63">
        <f t="shared" si="4"/>
        <v>0</v>
      </c>
      <c r="AW73" s="63">
        <f t="shared" si="5"/>
        <v>0</v>
      </c>
      <c r="AX73" s="67">
        <f t="shared" si="6"/>
        <v>0</v>
      </c>
      <c r="AY73" s="63">
        <v>104008.0</v>
      </c>
    </row>
    <row r="74" ht="15.75" customHeight="1">
      <c r="A74" s="63" t="s">
        <v>396</v>
      </c>
      <c r="B74" s="63" t="s">
        <v>397</v>
      </c>
      <c r="C74" s="63" t="s">
        <v>398</v>
      </c>
      <c r="D74" s="63">
        <v>81401.0</v>
      </c>
      <c r="E74" s="63" t="s">
        <v>399</v>
      </c>
      <c r="F74" s="63">
        <v>16.0</v>
      </c>
      <c r="H74" s="63">
        <v>409.0</v>
      </c>
      <c r="I74" s="63">
        <v>60.0</v>
      </c>
      <c r="K74" s="63">
        <v>3.0</v>
      </c>
      <c r="M74" s="63">
        <v>31.0</v>
      </c>
      <c r="N74" s="63">
        <v>186.0</v>
      </c>
      <c r="O74" s="63">
        <v>283.0</v>
      </c>
      <c r="P74" s="63">
        <v>22.0</v>
      </c>
      <c r="Q74" s="63">
        <v>2.0</v>
      </c>
      <c r="T74" s="63">
        <v>1.0</v>
      </c>
      <c r="U74" s="63">
        <v>17.0</v>
      </c>
      <c r="W74" s="64">
        <v>8.0</v>
      </c>
      <c r="AA74" s="63">
        <v>16.0</v>
      </c>
      <c r="AB74" s="63">
        <v>3.0</v>
      </c>
      <c r="AF74" s="63">
        <v>1.0</v>
      </c>
      <c r="AG74" s="63">
        <v>8.0</v>
      </c>
      <c r="AH74" s="63">
        <v>6.0</v>
      </c>
      <c r="AI74" s="63">
        <v>4.0</v>
      </c>
      <c r="AM74" s="63">
        <v>1.0</v>
      </c>
      <c r="AP74" s="63">
        <v>1.0</v>
      </c>
      <c r="AR74" s="63">
        <v>12.0</v>
      </c>
      <c r="AS74" s="63">
        <f t="shared" si="1"/>
        <v>539</v>
      </c>
      <c r="AT74" s="63">
        <f t="shared" si="2"/>
        <v>530</v>
      </c>
      <c r="AU74" s="63">
        <f t="shared" si="3"/>
        <v>9</v>
      </c>
      <c r="AV74" s="63">
        <f t="shared" si="4"/>
        <v>9</v>
      </c>
      <c r="AW74" s="63">
        <f t="shared" si="5"/>
        <v>0</v>
      </c>
      <c r="AX74" s="67">
        <f t="shared" si="6"/>
        <v>0</v>
      </c>
      <c r="AY74" s="63">
        <v>104008.0</v>
      </c>
    </row>
    <row r="75" ht="15.75" customHeight="1">
      <c r="A75" s="63" t="s">
        <v>994</v>
      </c>
      <c r="B75" s="63" t="s">
        <v>995</v>
      </c>
      <c r="C75" s="63" t="s">
        <v>996</v>
      </c>
      <c r="D75" s="63" t="s">
        <v>520</v>
      </c>
      <c r="E75" s="63" t="s">
        <v>997</v>
      </c>
      <c r="H75" s="63">
        <v>29.0</v>
      </c>
      <c r="M75" s="63">
        <v>9.0</v>
      </c>
      <c r="N75" s="63">
        <v>5.0</v>
      </c>
      <c r="O75" s="63">
        <v>33.0</v>
      </c>
      <c r="W75" s="64"/>
      <c r="AF75" s="63">
        <v>2.0</v>
      </c>
      <c r="AH75" s="63">
        <v>2.0</v>
      </c>
      <c r="AR75" s="63">
        <v>2.2</v>
      </c>
      <c r="AS75" s="63">
        <f t="shared" si="1"/>
        <v>40</v>
      </c>
      <c r="AT75" s="63">
        <f t="shared" si="2"/>
        <v>40</v>
      </c>
      <c r="AU75" s="63">
        <f t="shared" si="3"/>
        <v>0</v>
      </c>
      <c r="AV75" s="63">
        <f t="shared" si="4"/>
        <v>0</v>
      </c>
      <c r="AW75" s="63">
        <f t="shared" si="5"/>
        <v>0</v>
      </c>
      <c r="AX75" s="67">
        <f t="shared" si="6"/>
        <v>0</v>
      </c>
      <c r="AY75" s="63">
        <v>104008.0</v>
      </c>
    </row>
    <row r="76" ht="15.75" customHeight="1">
      <c r="A76" s="63" t="s">
        <v>704</v>
      </c>
      <c r="B76" s="63" t="s">
        <v>705</v>
      </c>
      <c r="C76" s="63" t="s">
        <v>706</v>
      </c>
      <c r="D76" s="63">
        <v>80817.0</v>
      </c>
      <c r="E76" s="63" t="s">
        <v>243</v>
      </c>
      <c r="H76" s="63">
        <v>198.0</v>
      </c>
      <c r="O76" s="63">
        <v>141.0</v>
      </c>
      <c r="P76" s="63">
        <v>54.0</v>
      </c>
      <c r="U76" s="63">
        <v>2.0</v>
      </c>
      <c r="W76" s="64">
        <v>1.0</v>
      </c>
      <c r="AS76" s="63">
        <f t="shared" si="1"/>
        <v>198</v>
      </c>
      <c r="AT76" s="63">
        <f t="shared" si="2"/>
        <v>197</v>
      </c>
      <c r="AU76" s="63">
        <f t="shared" si="3"/>
        <v>1</v>
      </c>
      <c r="AV76" s="63">
        <f t="shared" si="4"/>
        <v>1</v>
      </c>
      <c r="AW76" s="63">
        <f t="shared" si="5"/>
        <v>0</v>
      </c>
      <c r="AX76" s="67">
        <f t="shared" si="6"/>
        <v>0</v>
      </c>
      <c r="AY76" s="63">
        <v>104008.0</v>
      </c>
    </row>
    <row r="77" ht="15.75" customHeight="1">
      <c r="A77" s="63" t="s">
        <v>631</v>
      </c>
      <c r="B77" s="63" t="s">
        <v>632</v>
      </c>
      <c r="C77" s="63" t="s">
        <v>633</v>
      </c>
      <c r="D77" s="63">
        <v>81645.0</v>
      </c>
      <c r="E77" s="63" t="s">
        <v>539</v>
      </c>
      <c r="W77" s="64"/>
      <c r="AS77" s="63">
        <f t="shared" si="1"/>
        <v>0</v>
      </c>
      <c r="AT77" s="63">
        <f t="shared" si="2"/>
        <v>0</v>
      </c>
      <c r="AU77" s="63">
        <f t="shared" si="3"/>
        <v>0</v>
      </c>
      <c r="AV77" s="63">
        <f t="shared" si="4"/>
        <v>0</v>
      </c>
      <c r="AW77" s="63">
        <f t="shared" si="5"/>
        <v>0</v>
      </c>
      <c r="AX77" s="67">
        <f t="shared" si="6"/>
        <v>0</v>
      </c>
      <c r="AY77" s="63">
        <v>104008.0</v>
      </c>
    </row>
    <row r="78" ht="15.75" customHeight="1">
      <c r="A78" s="63" t="s">
        <v>487</v>
      </c>
      <c r="B78" s="63" t="s">
        <v>488</v>
      </c>
      <c r="C78" s="63" t="s">
        <v>489</v>
      </c>
      <c r="D78" s="63">
        <v>80813.0</v>
      </c>
      <c r="E78" s="63" t="s">
        <v>254</v>
      </c>
      <c r="H78" s="63">
        <v>47.0</v>
      </c>
      <c r="I78" s="63">
        <v>19.0</v>
      </c>
      <c r="M78" s="63">
        <v>10.0</v>
      </c>
      <c r="N78" s="63">
        <v>27.0</v>
      </c>
      <c r="O78" s="63">
        <v>38.0</v>
      </c>
      <c r="P78" s="63">
        <v>5.0</v>
      </c>
      <c r="R78" s="63">
        <v>4.0</v>
      </c>
      <c r="W78" s="64">
        <v>2.0</v>
      </c>
      <c r="Y78" s="63">
        <v>1.0</v>
      </c>
      <c r="AF78" s="63">
        <v>1.0</v>
      </c>
      <c r="AG78" s="63">
        <v>2.0</v>
      </c>
      <c r="AR78" s="63">
        <v>73.0</v>
      </c>
      <c r="AS78" s="63">
        <f t="shared" si="1"/>
        <v>78</v>
      </c>
      <c r="AT78" s="63">
        <f t="shared" si="2"/>
        <v>76</v>
      </c>
      <c r="AU78" s="63">
        <f t="shared" si="3"/>
        <v>2</v>
      </c>
      <c r="AV78" s="63">
        <f t="shared" si="4"/>
        <v>2</v>
      </c>
      <c r="AW78" s="63">
        <f t="shared" si="5"/>
        <v>0</v>
      </c>
      <c r="AX78" s="67">
        <f t="shared" si="6"/>
        <v>0</v>
      </c>
      <c r="AY78" s="63">
        <v>104008.0</v>
      </c>
    </row>
    <row r="79" ht="15.75" customHeight="1">
      <c r="A79" s="63" t="s">
        <v>403</v>
      </c>
      <c r="B79" s="63" t="s">
        <v>404</v>
      </c>
      <c r="C79" s="63" t="s">
        <v>405</v>
      </c>
      <c r="D79" s="63">
        <v>81089.0</v>
      </c>
      <c r="E79" s="63" t="s">
        <v>406</v>
      </c>
      <c r="H79" s="63">
        <v>78.0</v>
      </c>
      <c r="M79" s="63">
        <v>12.0</v>
      </c>
      <c r="N79" s="63">
        <v>5.0</v>
      </c>
      <c r="O79" s="63">
        <v>46.0</v>
      </c>
      <c r="P79" s="63">
        <v>29.0</v>
      </c>
      <c r="T79" s="63">
        <v>3.0</v>
      </c>
      <c r="U79" s="63">
        <v>3.0</v>
      </c>
      <c r="V79" s="63">
        <v>1.0</v>
      </c>
      <c r="W79" s="64">
        <v>3.0</v>
      </c>
      <c r="AA79" s="63">
        <v>37.0</v>
      </c>
      <c r="AG79" s="63">
        <v>4.0</v>
      </c>
      <c r="AH79" s="63">
        <v>6.0</v>
      </c>
      <c r="AI79" s="63">
        <v>26.0</v>
      </c>
      <c r="AN79" s="63">
        <v>1.0</v>
      </c>
      <c r="AR79" s="63">
        <v>9.0</v>
      </c>
      <c r="AS79" s="63">
        <f t="shared" si="1"/>
        <v>127</v>
      </c>
      <c r="AT79" s="63">
        <f t="shared" si="2"/>
        <v>124</v>
      </c>
      <c r="AU79" s="63">
        <f t="shared" si="3"/>
        <v>3</v>
      </c>
      <c r="AV79" s="63">
        <f t="shared" si="4"/>
        <v>3</v>
      </c>
      <c r="AW79" s="63">
        <f t="shared" si="5"/>
        <v>0</v>
      </c>
      <c r="AX79" s="67">
        <f t="shared" si="6"/>
        <v>0</v>
      </c>
      <c r="AY79" s="63">
        <v>104008.0</v>
      </c>
    </row>
    <row r="80" ht="15.75" customHeight="1">
      <c r="A80" s="63" t="s">
        <v>955</v>
      </c>
      <c r="B80" s="63" t="s">
        <v>956</v>
      </c>
      <c r="C80" s="63" t="s">
        <v>957</v>
      </c>
      <c r="D80" s="63">
        <v>80814.0</v>
      </c>
      <c r="E80" s="63" t="s">
        <v>254</v>
      </c>
      <c r="F80" s="63">
        <v>12.0</v>
      </c>
      <c r="G80" s="63">
        <v>1.0</v>
      </c>
      <c r="H80" s="63">
        <v>348.0</v>
      </c>
      <c r="I80" s="63">
        <v>46.0</v>
      </c>
      <c r="K80" s="63">
        <v>19.0</v>
      </c>
      <c r="L80" s="63">
        <v>26.0</v>
      </c>
      <c r="M80" s="63">
        <v>22.0</v>
      </c>
      <c r="N80" s="63">
        <v>174.0</v>
      </c>
      <c r="O80" s="63">
        <v>266.0</v>
      </c>
      <c r="P80" s="63">
        <v>6.0</v>
      </c>
      <c r="U80" s="63">
        <v>8.0</v>
      </c>
      <c r="W80" s="64">
        <v>18.0</v>
      </c>
      <c r="X80" s="63">
        <v>2.0</v>
      </c>
      <c r="Y80" s="63">
        <v>7.0</v>
      </c>
      <c r="Z80" s="63">
        <v>8.0</v>
      </c>
      <c r="AA80" s="63">
        <v>19.0</v>
      </c>
      <c r="AB80" s="63">
        <v>15.0</v>
      </c>
      <c r="AD80" s="63">
        <v>21.0</v>
      </c>
      <c r="AE80" s="63">
        <v>11.0</v>
      </c>
      <c r="AF80" s="63">
        <v>4.0</v>
      </c>
      <c r="AG80" s="63">
        <v>74.0</v>
      </c>
      <c r="AH80" s="63">
        <v>5.0</v>
      </c>
      <c r="AI80" s="63">
        <v>1.0</v>
      </c>
      <c r="AL80" s="63">
        <v>5.0</v>
      </c>
      <c r="AR80" s="63">
        <v>29.0</v>
      </c>
      <c r="AS80" s="63">
        <f t="shared" si="1"/>
        <v>559</v>
      </c>
      <c r="AT80" s="63">
        <f t="shared" si="2"/>
        <v>539</v>
      </c>
      <c r="AU80" s="63">
        <f t="shared" si="3"/>
        <v>20</v>
      </c>
      <c r="AV80" s="63">
        <f t="shared" si="4"/>
        <v>20</v>
      </c>
      <c r="AW80" s="63">
        <f t="shared" si="5"/>
        <v>0</v>
      </c>
      <c r="AX80" s="67">
        <f t="shared" si="6"/>
        <v>0</v>
      </c>
      <c r="AY80" s="63">
        <v>104008.0</v>
      </c>
    </row>
    <row r="81" ht="15.75" customHeight="1">
      <c r="A81" s="63" t="s">
        <v>407</v>
      </c>
      <c r="B81" s="63" t="s">
        <v>408</v>
      </c>
      <c r="C81" s="63" t="s">
        <v>409</v>
      </c>
      <c r="D81" s="63">
        <v>80758.0</v>
      </c>
      <c r="E81" s="63" t="s">
        <v>410</v>
      </c>
      <c r="H81" s="63">
        <v>56.0</v>
      </c>
      <c r="O81" s="63">
        <v>52.0</v>
      </c>
      <c r="P81" s="63">
        <v>2.0</v>
      </c>
      <c r="U81" s="63">
        <v>2.0</v>
      </c>
      <c r="W81" s="64"/>
      <c r="AS81" s="63">
        <f t="shared" si="1"/>
        <v>56</v>
      </c>
      <c r="AT81" s="63">
        <f t="shared" si="2"/>
        <v>56</v>
      </c>
      <c r="AU81" s="63">
        <f t="shared" si="3"/>
        <v>0</v>
      </c>
      <c r="AV81" s="63">
        <f t="shared" si="4"/>
        <v>0</v>
      </c>
      <c r="AW81" s="63">
        <f t="shared" si="5"/>
        <v>0</v>
      </c>
      <c r="AX81" s="67">
        <f t="shared" si="6"/>
        <v>0</v>
      </c>
      <c r="AY81" s="63">
        <v>104008.0</v>
      </c>
    </row>
    <row r="82" ht="15.75" customHeight="1">
      <c r="A82" s="63" t="s">
        <v>998</v>
      </c>
      <c r="B82" s="63" t="s">
        <v>999</v>
      </c>
      <c r="C82" s="63" t="s">
        <v>1000</v>
      </c>
      <c r="D82" s="63">
        <v>81641.0</v>
      </c>
      <c r="E82" s="63" t="s">
        <v>1001</v>
      </c>
      <c r="H82" s="63">
        <v>95.0</v>
      </c>
      <c r="I82" s="63">
        <v>18.0</v>
      </c>
      <c r="M82" s="63">
        <v>3.0</v>
      </c>
      <c r="N82" s="63">
        <v>18.0</v>
      </c>
      <c r="O82" s="63">
        <v>95.0</v>
      </c>
      <c r="P82" s="63">
        <v>2.0</v>
      </c>
      <c r="R82" s="63">
        <v>1.0</v>
      </c>
      <c r="W82" s="64"/>
      <c r="AA82" s="63">
        <v>2.0</v>
      </c>
      <c r="AP82" s="63">
        <v>2.0</v>
      </c>
      <c r="AR82" s="63">
        <v>6.0</v>
      </c>
      <c r="AS82" s="63">
        <f t="shared" si="1"/>
        <v>118</v>
      </c>
      <c r="AT82" s="63">
        <f t="shared" si="2"/>
        <v>116</v>
      </c>
      <c r="AU82" s="63">
        <f t="shared" si="3"/>
        <v>2</v>
      </c>
      <c r="AV82" s="63">
        <f t="shared" si="4"/>
        <v>2</v>
      </c>
      <c r="AW82" s="63">
        <f t="shared" si="5"/>
        <v>0</v>
      </c>
      <c r="AX82" s="67">
        <f t="shared" si="6"/>
        <v>0</v>
      </c>
      <c r="AY82" s="63">
        <v>104008.0</v>
      </c>
    </row>
    <row r="83" ht="15.75" customHeight="1">
      <c r="A83" s="63" t="s">
        <v>244</v>
      </c>
      <c r="B83" s="63" t="s">
        <v>245</v>
      </c>
      <c r="C83" s="63" t="s">
        <v>246</v>
      </c>
      <c r="D83" s="63">
        <v>80922.0</v>
      </c>
      <c r="E83" s="63" t="s">
        <v>243</v>
      </c>
      <c r="W83" s="64"/>
      <c r="AS83" s="63">
        <f t="shared" si="1"/>
        <v>0</v>
      </c>
      <c r="AT83" s="63">
        <f t="shared" si="2"/>
        <v>0</v>
      </c>
      <c r="AU83" s="63">
        <f t="shared" si="3"/>
        <v>0</v>
      </c>
      <c r="AV83" s="63">
        <f t="shared" si="4"/>
        <v>0</v>
      </c>
      <c r="AW83" s="63">
        <f t="shared" si="5"/>
        <v>0</v>
      </c>
      <c r="AX83" s="67">
        <f t="shared" si="6"/>
        <v>0</v>
      </c>
      <c r="AY83" s="63">
        <v>104008.0</v>
      </c>
    </row>
    <row r="84" ht="15.75" customHeight="1">
      <c r="A84" s="63" t="s">
        <v>466</v>
      </c>
      <c r="B84" s="63" t="s">
        <v>467</v>
      </c>
      <c r="C84" s="63" t="s">
        <v>468</v>
      </c>
      <c r="D84" s="63">
        <v>80907.0</v>
      </c>
      <c r="E84" s="63" t="s">
        <v>243</v>
      </c>
      <c r="G84" s="63">
        <v>66.0</v>
      </c>
      <c r="I84" s="63">
        <v>19.0</v>
      </c>
      <c r="K84" s="63">
        <v>49.0</v>
      </c>
      <c r="N84" s="63">
        <v>95.0</v>
      </c>
      <c r="O84" s="63">
        <v>6.0</v>
      </c>
      <c r="S84" s="63">
        <v>2.0</v>
      </c>
      <c r="W84" s="64"/>
      <c r="X84" s="63">
        <v>31.0</v>
      </c>
      <c r="Z84" s="63">
        <v>2.0</v>
      </c>
      <c r="AD84" s="63">
        <v>30.0</v>
      </c>
      <c r="AG84" s="63">
        <v>3.0</v>
      </c>
      <c r="AQ84" s="63">
        <v>29.0</v>
      </c>
      <c r="AR84" s="63">
        <v>52.5</v>
      </c>
      <c r="AS84" s="63">
        <f t="shared" si="1"/>
        <v>166</v>
      </c>
      <c r="AT84" s="63">
        <f t="shared" si="2"/>
        <v>106</v>
      </c>
      <c r="AU84" s="63">
        <f t="shared" si="3"/>
        <v>60</v>
      </c>
      <c r="AV84" s="63">
        <f t="shared" si="4"/>
        <v>60</v>
      </c>
      <c r="AW84" s="63">
        <f t="shared" si="5"/>
        <v>0</v>
      </c>
      <c r="AX84" s="67">
        <f t="shared" si="6"/>
        <v>0</v>
      </c>
      <c r="AY84" s="63">
        <v>104008.0</v>
      </c>
    </row>
    <row r="85" ht="15.75" customHeight="1">
      <c r="A85" s="63" t="s">
        <v>521</v>
      </c>
      <c r="B85" s="63" t="s">
        <v>522</v>
      </c>
      <c r="C85" s="63" t="s">
        <v>523</v>
      </c>
      <c r="D85" s="63">
        <v>80113.0</v>
      </c>
      <c r="E85" s="63" t="s">
        <v>350</v>
      </c>
      <c r="F85" s="63">
        <v>6.0</v>
      </c>
      <c r="I85" s="63">
        <v>9.0</v>
      </c>
      <c r="K85" s="63">
        <v>15.0</v>
      </c>
      <c r="L85" s="63">
        <v>3.0</v>
      </c>
      <c r="N85" s="63">
        <v>25.0</v>
      </c>
      <c r="U85" s="63">
        <v>4.0</v>
      </c>
      <c r="W85" s="64">
        <v>4.0</v>
      </c>
      <c r="AS85" s="63">
        <f t="shared" si="1"/>
        <v>33</v>
      </c>
      <c r="AT85" s="63">
        <f t="shared" si="2"/>
        <v>29</v>
      </c>
      <c r="AU85" s="63">
        <f t="shared" si="3"/>
        <v>4</v>
      </c>
      <c r="AV85" s="63">
        <f t="shared" si="4"/>
        <v>4</v>
      </c>
      <c r="AW85" s="63">
        <f t="shared" si="5"/>
        <v>0</v>
      </c>
      <c r="AX85" s="67">
        <f t="shared" si="6"/>
        <v>0</v>
      </c>
      <c r="AY85" s="63">
        <v>104008.0</v>
      </c>
    </row>
    <row r="86" ht="15.75" customHeight="1">
      <c r="A86" s="63" t="s">
        <v>457</v>
      </c>
      <c r="B86" s="63" t="s">
        <v>458</v>
      </c>
      <c r="C86" s="63" t="s">
        <v>459</v>
      </c>
      <c r="D86" s="63">
        <v>80504.0</v>
      </c>
      <c r="E86" s="63" t="s">
        <v>258</v>
      </c>
      <c r="W86" s="64"/>
      <c r="AS86" s="63">
        <f t="shared" si="1"/>
        <v>0</v>
      </c>
      <c r="AT86" s="63">
        <f t="shared" si="2"/>
        <v>0</v>
      </c>
      <c r="AU86" s="63">
        <f t="shared" si="3"/>
        <v>0</v>
      </c>
      <c r="AV86" s="63">
        <f t="shared" si="4"/>
        <v>0</v>
      </c>
      <c r="AW86" s="63">
        <f t="shared" si="5"/>
        <v>0</v>
      </c>
      <c r="AX86" s="67">
        <f t="shared" si="6"/>
        <v>0</v>
      </c>
      <c r="AY86" s="63">
        <v>104008.0</v>
      </c>
    </row>
    <row r="87" ht="15.75" customHeight="1">
      <c r="A87" s="63" t="s">
        <v>369</v>
      </c>
      <c r="B87" s="63" t="s">
        <v>370</v>
      </c>
      <c r="C87" s="63" t="s">
        <v>371</v>
      </c>
      <c r="D87" s="63">
        <v>80723.0</v>
      </c>
      <c r="E87" s="63" t="s">
        <v>372</v>
      </c>
      <c r="H87" s="63">
        <v>165.0</v>
      </c>
      <c r="N87" s="63">
        <v>14.0</v>
      </c>
      <c r="O87" s="63">
        <v>113.0</v>
      </c>
      <c r="P87" s="63">
        <v>31.0</v>
      </c>
      <c r="S87" s="63">
        <v>1.0</v>
      </c>
      <c r="T87" s="63">
        <v>1.0</v>
      </c>
      <c r="U87" s="63">
        <v>4.0</v>
      </c>
      <c r="W87" s="64">
        <v>1.0</v>
      </c>
      <c r="AA87" s="63">
        <v>21.0</v>
      </c>
      <c r="AG87" s="63">
        <v>2.0</v>
      </c>
      <c r="AH87" s="63">
        <v>13.0</v>
      </c>
      <c r="AI87" s="63">
        <v>5.0</v>
      </c>
      <c r="AN87" s="63">
        <v>1.0</v>
      </c>
      <c r="AR87" s="63">
        <v>3.6</v>
      </c>
      <c r="AS87" s="63">
        <f t="shared" si="1"/>
        <v>186</v>
      </c>
      <c r="AT87" s="63">
        <f t="shared" si="2"/>
        <v>185</v>
      </c>
      <c r="AU87" s="63">
        <f t="shared" si="3"/>
        <v>1</v>
      </c>
      <c r="AV87" s="63">
        <f t="shared" si="4"/>
        <v>1</v>
      </c>
      <c r="AW87" s="63">
        <f t="shared" si="5"/>
        <v>0</v>
      </c>
      <c r="AX87" s="67">
        <f t="shared" si="6"/>
        <v>0</v>
      </c>
      <c r="AY87" s="63">
        <v>104008.0</v>
      </c>
    </row>
    <row r="88" ht="15.75" customHeight="1">
      <c r="A88" s="63" t="s">
        <v>561</v>
      </c>
      <c r="B88" s="63" t="s">
        <v>562</v>
      </c>
      <c r="C88" s="63" t="s">
        <v>563</v>
      </c>
      <c r="D88" s="63">
        <v>80919.0</v>
      </c>
      <c r="E88" s="63" t="s">
        <v>243</v>
      </c>
      <c r="W88" s="64"/>
      <c r="AS88" s="63">
        <f t="shared" si="1"/>
        <v>0</v>
      </c>
      <c r="AT88" s="63">
        <f t="shared" si="2"/>
        <v>0</v>
      </c>
      <c r="AU88" s="63">
        <f t="shared" si="3"/>
        <v>0</v>
      </c>
      <c r="AV88" s="63">
        <f t="shared" si="4"/>
        <v>0</v>
      </c>
      <c r="AW88" s="63">
        <f t="shared" si="5"/>
        <v>0</v>
      </c>
      <c r="AX88" s="67">
        <f t="shared" si="6"/>
        <v>0</v>
      </c>
      <c r="AY88" s="63">
        <v>104008.0</v>
      </c>
    </row>
    <row r="89" ht="15.75" customHeight="1">
      <c r="A89" s="63" t="s">
        <v>310</v>
      </c>
      <c r="B89" s="63" t="s">
        <v>311</v>
      </c>
      <c r="C89" s="63" t="s">
        <v>312</v>
      </c>
      <c r="D89" s="63">
        <v>80138.0</v>
      </c>
      <c r="E89" s="63" t="s">
        <v>313</v>
      </c>
      <c r="I89" s="63">
        <v>7.0</v>
      </c>
      <c r="N89" s="63">
        <v>7.0</v>
      </c>
      <c r="W89" s="64"/>
      <c r="AS89" s="63">
        <f t="shared" si="1"/>
        <v>7</v>
      </c>
      <c r="AT89" s="63">
        <f t="shared" si="2"/>
        <v>7</v>
      </c>
      <c r="AU89" s="63">
        <f t="shared" si="3"/>
        <v>0</v>
      </c>
      <c r="AV89" s="63">
        <f t="shared" si="4"/>
        <v>0</v>
      </c>
      <c r="AW89" s="63">
        <f t="shared" si="5"/>
        <v>0</v>
      </c>
      <c r="AX89" s="67">
        <f t="shared" si="6"/>
        <v>0</v>
      </c>
      <c r="AY89" s="63">
        <v>104008.0</v>
      </c>
    </row>
    <row r="90" ht="15.75" customHeight="1">
      <c r="A90" s="63" t="s">
        <v>347</v>
      </c>
      <c r="B90" s="63" t="s">
        <v>348</v>
      </c>
      <c r="C90" s="63" t="s">
        <v>349</v>
      </c>
      <c r="D90" s="63">
        <v>80015.0</v>
      </c>
      <c r="E90" s="63" t="s">
        <v>350</v>
      </c>
      <c r="W90" s="64"/>
      <c r="AS90" s="63">
        <f t="shared" si="1"/>
        <v>0</v>
      </c>
      <c r="AT90" s="63">
        <f t="shared" si="2"/>
        <v>0</v>
      </c>
      <c r="AU90" s="63">
        <f t="shared" si="3"/>
        <v>0</v>
      </c>
      <c r="AV90" s="63">
        <f t="shared" si="4"/>
        <v>0</v>
      </c>
      <c r="AW90" s="63">
        <f t="shared" si="5"/>
        <v>0</v>
      </c>
      <c r="AX90" s="67">
        <f t="shared" si="6"/>
        <v>0</v>
      </c>
      <c r="AY90" s="63">
        <v>104008.0</v>
      </c>
    </row>
    <row r="91" ht="15.75" customHeight="1">
      <c r="A91" s="63" t="s">
        <v>1020</v>
      </c>
      <c r="B91" s="63" t="s">
        <v>1021</v>
      </c>
      <c r="C91" s="63" t="s">
        <v>1022</v>
      </c>
      <c r="D91" s="63">
        <v>81252.0</v>
      </c>
      <c r="E91" s="63" t="s">
        <v>1011</v>
      </c>
      <c r="H91" s="63">
        <v>27.0</v>
      </c>
      <c r="M91" s="63">
        <v>2.0</v>
      </c>
      <c r="N91" s="63">
        <v>2.0</v>
      </c>
      <c r="O91" s="63">
        <v>27.0</v>
      </c>
      <c r="W91" s="64"/>
      <c r="AS91" s="63">
        <f t="shared" si="1"/>
        <v>29</v>
      </c>
      <c r="AT91" s="63">
        <f t="shared" si="2"/>
        <v>29</v>
      </c>
      <c r="AU91" s="63">
        <f t="shared" si="3"/>
        <v>0</v>
      </c>
      <c r="AV91" s="63">
        <f t="shared" si="4"/>
        <v>0</v>
      </c>
      <c r="AW91" s="63">
        <f t="shared" si="5"/>
        <v>0</v>
      </c>
      <c r="AX91" s="67">
        <f t="shared" si="6"/>
        <v>0</v>
      </c>
      <c r="AY91" s="63">
        <v>104008.0</v>
      </c>
    </row>
    <row r="92" ht="15.75" customHeight="1">
      <c r="A92" s="63" t="s">
        <v>441</v>
      </c>
      <c r="B92" s="63" t="s">
        <v>442</v>
      </c>
      <c r="C92" s="63" t="s">
        <v>443</v>
      </c>
      <c r="D92" s="63">
        <v>80020.0</v>
      </c>
      <c r="E92" s="63" t="s">
        <v>444</v>
      </c>
      <c r="W92" s="64"/>
      <c r="AS92" s="63">
        <f t="shared" si="1"/>
        <v>0</v>
      </c>
      <c r="AT92" s="63">
        <f t="shared" si="2"/>
        <v>0</v>
      </c>
      <c r="AU92" s="63">
        <f t="shared" si="3"/>
        <v>0</v>
      </c>
      <c r="AV92" s="63">
        <f t="shared" si="4"/>
        <v>0</v>
      </c>
      <c r="AW92" s="63">
        <f t="shared" si="5"/>
        <v>0</v>
      </c>
      <c r="AX92" s="67">
        <f t="shared" si="6"/>
        <v>0</v>
      </c>
      <c r="AY92" s="63">
        <v>104008.0</v>
      </c>
    </row>
    <row r="93" ht="15.75" customHeight="1">
      <c r="A93" s="63" t="s">
        <v>340</v>
      </c>
      <c r="B93" s="63" t="s">
        <v>341</v>
      </c>
      <c r="C93" s="63" t="s">
        <v>342</v>
      </c>
      <c r="D93" s="63">
        <v>80214.0</v>
      </c>
      <c r="E93" s="63" t="s">
        <v>239</v>
      </c>
      <c r="W93" s="64"/>
      <c r="AS93" s="63">
        <f t="shared" si="1"/>
        <v>0</v>
      </c>
      <c r="AT93" s="63">
        <f t="shared" si="2"/>
        <v>0</v>
      </c>
      <c r="AU93" s="63">
        <f t="shared" si="3"/>
        <v>0</v>
      </c>
      <c r="AV93" s="63">
        <f t="shared" si="4"/>
        <v>0</v>
      </c>
      <c r="AW93" s="63">
        <f t="shared" si="5"/>
        <v>0</v>
      </c>
      <c r="AX93" s="67">
        <f t="shared" si="6"/>
        <v>0</v>
      </c>
      <c r="AY93" s="63">
        <v>104008.0</v>
      </c>
    </row>
    <row r="94" ht="15.75" customHeight="1">
      <c r="A94" s="63" t="s">
        <v>496</v>
      </c>
      <c r="B94" s="63" t="s">
        <v>497</v>
      </c>
      <c r="C94" s="63" t="s">
        <v>498</v>
      </c>
      <c r="D94" s="63">
        <v>81321.0</v>
      </c>
      <c r="E94" s="63" t="s">
        <v>380</v>
      </c>
      <c r="F94" s="63">
        <v>61.0</v>
      </c>
      <c r="H94" s="63">
        <v>1.0</v>
      </c>
      <c r="N94" s="63">
        <v>1.0</v>
      </c>
      <c r="S94" s="63">
        <v>10.0</v>
      </c>
      <c r="W94" s="64">
        <v>51.0</v>
      </c>
      <c r="AS94" s="63">
        <f t="shared" si="1"/>
        <v>62</v>
      </c>
      <c r="AT94" s="63">
        <f t="shared" si="2"/>
        <v>11</v>
      </c>
      <c r="AU94" s="63">
        <f t="shared" si="3"/>
        <v>51</v>
      </c>
      <c r="AV94" s="63">
        <f t="shared" si="4"/>
        <v>51</v>
      </c>
      <c r="AW94" s="63">
        <f t="shared" si="5"/>
        <v>0</v>
      </c>
      <c r="AX94" s="67">
        <f t="shared" si="6"/>
        <v>0</v>
      </c>
      <c r="AY94" s="63">
        <v>104008.0</v>
      </c>
    </row>
    <row r="95" ht="15.75" customHeight="1">
      <c r="A95" s="63" t="s">
        <v>463</v>
      </c>
      <c r="B95" s="63" t="s">
        <v>464</v>
      </c>
      <c r="C95" s="63" t="s">
        <v>465</v>
      </c>
      <c r="D95" s="63">
        <v>80113.0</v>
      </c>
      <c r="E95" s="63" t="s">
        <v>350</v>
      </c>
      <c r="F95" s="63">
        <v>1.0</v>
      </c>
      <c r="G95" s="63">
        <v>1.0</v>
      </c>
      <c r="H95" s="63">
        <v>1.0</v>
      </c>
      <c r="I95" s="63">
        <v>10.0</v>
      </c>
      <c r="K95" s="63">
        <v>2.0</v>
      </c>
      <c r="L95" s="63">
        <v>13.0</v>
      </c>
      <c r="N95" s="63">
        <v>23.0</v>
      </c>
      <c r="U95" s="63">
        <v>3.0</v>
      </c>
      <c r="W95" s="64">
        <v>1.0</v>
      </c>
      <c r="X95" s="63">
        <v>1.0</v>
      </c>
      <c r="AS95" s="63">
        <f t="shared" si="1"/>
        <v>28</v>
      </c>
      <c r="AT95" s="63">
        <f t="shared" si="2"/>
        <v>26</v>
      </c>
      <c r="AU95" s="63">
        <f t="shared" si="3"/>
        <v>2</v>
      </c>
      <c r="AV95" s="63">
        <f t="shared" si="4"/>
        <v>2</v>
      </c>
      <c r="AW95" s="63">
        <f t="shared" si="5"/>
        <v>0</v>
      </c>
      <c r="AX95" s="67">
        <f t="shared" si="6"/>
        <v>0</v>
      </c>
      <c r="AY95" s="63">
        <v>104008.0</v>
      </c>
    </row>
    <row r="96" ht="15.75" customHeight="1">
      <c r="A96" s="63" t="s">
        <v>389</v>
      </c>
      <c r="B96" s="63" t="s">
        <v>390</v>
      </c>
      <c r="C96" s="63" t="s">
        <v>391</v>
      </c>
      <c r="D96" s="63">
        <v>80026.0</v>
      </c>
      <c r="E96" s="63" t="s">
        <v>279</v>
      </c>
      <c r="H96" s="63">
        <v>4.0</v>
      </c>
      <c r="O96" s="63">
        <v>1.0</v>
      </c>
      <c r="P96" s="63">
        <v>3.0</v>
      </c>
      <c r="W96" s="64"/>
      <c r="AS96" s="63">
        <f t="shared" si="1"/>
        <v>4</v>
      </c>
      <c r="AT96" s="63">
        <f t="shared" si="2"/>
        <v>4</v>
      </c>
      <c r="AU96" s="63">
        <f t="shared" si="3"/>
        <v>0</v>
      </c>
      <c r="AV96" s="63">
        <f t="shared" si="4"/>
        <v>0</v>
      </c>
      <c r="AW96" s="63">
        <f t="shared" si="5"/>
        <v>0</v>
      </c>
      <c r="AX96" s="67">
        <f t="shared" si="6"/>
        <v>0</v>
      </c>
      <c r="AY96" s="63">
        <v>104008.0</v>
      </c>
    </row>
    <row r="97" ht="15.75" customHeight="1">
      <c r="A97" s="63" t="s">
        <v>1048</v>
      </c>
      <c r="B97" s="63" t="s">
        <v>1049</v>
      </c>
      <c r="C97" s="63" t="s">
        <v>1050</v>
      </c>
      <c r="D97" s="63">
        <v>81137.0</v>
      </c>
      <c r="E97" s="63" t="s">
        <v>287</v>
      </c>
      <c r="F97" s="63">
        <v>62.0</v>
      </c>
      <c r="I97" s="63">
        <v>1.0</v>
      </c>
      <c r="L97" s="63">
        <v>2.0</v>
      </c>
      <c r="N97" s="63">
        <v>1.0</v>
      </c>
      <c r="S97" s="63">
        <v>5.0</v>
      </c>
      <c r="U97" s="63">
        <v>2.0</v>
      </c>
      <c r="W97" s="64">
        <v>57.0</v>
      </c>
      <c r="AS97" s="63">
        <f t="shared" si="1"/>
        <v>65</v>
      </c>
      <c r="AT97" s="63">
        <f t="shared" si="2"/>
        <v>8</v>
      </c>
      <c r="AU97" s="63">
        <f t="shared" si="3"/>
        <v>57</v>
      </c>
      <c r="AV97" s="63">
        <f t="shared" si="4"/>
        <v>57</v>
      </c>
      <c r="AW97" s="63">
        <f t="shared" si="5"/>
        <v>0</v>
      </c>
      <c r="AX97" s="67">
        <f t="shared" si="6"/>
        <v>0</v>
      </c>
      <c r="AY97" s="63">
        <v>104008.0</v>
      </c>
    </row>
    <row r="98" ht="15.75" customHeight="1">
      <c r="A98" s="63" t="s">
        <v>826</v>
      </c>
      <c r="B98" s="63" t="s">
        <v>827</v>
      </c>
      <c r="C98" s="63" t="s">
        <v>828</v>
      </c>
      <c r="D98" s="63">
        <v>81039.0</v>
      </c>
      <c r="E98" s="63" t="s">
        <v>388</v>
      </c>
      <c r="H98" s="63">
        <v>6.0</v>
      </c>
      <c r="I98" s="63">
        <v>1.0</v>
      </c>
      <c r="N98" s="63">
        <v>1.0</v>
      </c>
      <c r="O98" s="63">
        <v>2.0</v>
      </c>
      <c r="P98" s="63">
        <v>4.0</v>
      </c>
      <c r="W98" s="64"/>
      <c r="AR98" s="63">
        <v>5.0</v>
      </c>
      <c r="AS98" s="63">
        <f t="shared" si="1"/>
        <v>7</v>
      </c>
      <c r="AT98" s="63">
        <f t="shared" si="2"/>
        <v>7</v>
      </c>
      <c r="AU98" s="63">
        <f t="shared" si="3"/>
        <v>0</v>
      </c>
      <c r="AV98" s="63">
        <f t="shared" si="4"/>
        <v>0</v>
      </c>
      <c r="AW98" s="63">
        <f t="shared" si="5"/>
        <v>0</v>
      </c>
      <c r="AX98" s="67">
        <f t="shared" si="6"/>
        <v>0</v>
      </c>
      <c r="AY98" s="63">
        <v>104008.0</v>
      </c>
    </row>
    <row r="99" ht="15.75" customHeight="1">
      <c r="A99" s="63" t="s">
        <v>841</v>
      </c>
      <c r="B99" s="63" t="s">
        <v>842</v>
      </c>
      <c r="C99" s="63" t="s">
        <v>843</v>
      </c>
      <c r="D99" s="63">
        <v>81007.0</v>
      </c>
      <c r="E99" s="63" t="s">
        <v>822</v>
      </c>
      <c r="W99" s="64"/>
      <c r="AS99" s="63">
        <f t="shared" si="1"/>
        <v>0</v>
      </c>
      <c r="AT99" s="63">
        <f t="shared" si="2"/>
        <v>0</v>
      </c>
      <c r="AU99" s="63">
        <f t="shared" si="3"/>
        <v>0</v>
      </c>
      <c r="AV99" s="63">
        <f t="shared" si="4"/>
        <v>0</v>
      </c>
      <c r="AW99" s="63">
        <f t="shared" si="5"/>
        <v>0</v>
      </c>
      <c r="AX99" s="67">
        <f t="shared" si="6"/>
        <v>0</v>
      </c>
      <c r="AY99" s="63">
        <v>104008.0</v>
      </c>
    </row>
    <row r="100" ht="15.75" customHeight="1">
      <c r="A100" s="63" t="s">
        <v>677</v>
      </c>
      <c r="B100" s="63" t="s">
        <v>678</v>
      </c>
      <c r="C100" s="63" t="s">
        <v>679</v>
      </c>
      <c r="D100" s="63">
        <v>80827.0</v>
      </c>
      <c r="E100" s="63" t="s">
        <v>486</v>
      </c>
      <c r="F100" s="63">
        <v>36.0</v>
      </c>
      <c r="I100" s="63">
        <v>4.0</v>
      </c>
      <c r="S100" s="63">
        <v>3.0</v>
      </c>
      <c r="U100" s="63">
        <v>1.0</v>
      </c>
      <c r="W100" s="64">
        <v>36.0</v>
      </c>
      <c r="AS100" s="63">
        <f t="shared" si="1"/>
        <v>40</v>
      </c>
      <c r="AT100" s="63">
        <f t="shared" si="2"/>
        <v>4</v>
      </c>
      <c r="AU100" s="63">
        <f t="shared" si="3"/>
        <v>36</v>
      </c>
      <c r="AV100" s="63">
        <f t="shared" si="4"/>
        <v>36</v>
      </c>
      <c r="AW100" s="63">
        <f t="shared" si="5"/>
        <v>0</v>
      </c>
      <c r="AX100" s="67">
        <f t="shared" si="6"/>
        <v>0</v>
      </c>
      <c r="AY100" s="63">
        <v>104008.0</v>
      </c>
    </row>
    <row r="101" ht="15.75" customHeight="1">
      <c r="A101" s="63" t="s">
        <v>265</v>
      </c>
      <c r="B101" s="63" t="s">
        <v>266</v>
      </c>
      <c r="C101" s="63" t="s">
        <v>267</v>
      </c>
      <c r="D101" s="63">
        <v>80215.0</v>
      </c>
      <c r="E101" s="63" t="s">
        <v>239</v>
      </c>
      <c r="W101" s="64"/>
      <c r="AS101" s="63">
        <f t="shared" si="1"/>
        <v>0</v>
      </c>
      <c r="AT101" s="63">
        <f t="shared" si="2"/>
        <v>0</v>
      </c>
      <c r="AU101" s="63">
        <f t="shared" si="3"/>
        <v>0</v>
      </c>
      <c r="AV101" s="63">
        <f t="shared" si="4"/>
        <v>0</v>
      </c>
      <c r="AW101" s="63">
        <f t="shared" si="5"/>
        <v>0</v>
      </c>
      <c r="AX101" s="67">
        <f t="shared" si="6"/>
        <v>0</v>
      </c>
      <c r="AY101" s="63">
        <v>104008.0</v>
      </c>
    </row>
    <row r="102" ht="15.75" customHeight="1">
      <c r="A102" s="63" t="s">
        <v>871</v>
      </c>
      <c r="B102" s="63" t="s">
        <v>872</v>
      </c>
      <c r="C102" s="63" t="s">
        <v>873</v>
      </c>
      <c r="D102" s="63">
        <v>81007.0</v>
      </c>
      <c r="E102" s="63" t="s">
        <v>822</v>
      </c>
      <c r="G102" s="63">
        <v>17.0</v>
      </c>
      <c r="I102" s="63">
        <v>13.0</v>
      </c>
      <c r="K102" s="63">
        <v>16.0</v>
      </c>
      <c r="L102" s="63">
        <v>5.0</v>
      </c>
      <c r="M102" s="63">
        <v>16.0</v>
      </c>
      <c r="N102" s="63">
        <v>49.0</v>
      </c>
      <c r="S102" s="63">
        <v>3.0</v>
      </c>
      <c r="U102" s="63">
        <v>1.0</v>
      </c>
      <c r="W102" s="64"/>
      <c r="X102" s="63">
        <v>14.0</v>
      </c>
      <c r="AS102" s="63">
        <f t="shared" si="1"/>
        <v>67</v>
      </c>
      <c r="AT102" s="63">
        <f t="shared" si="2"/>
        <v>53</v>
      </c>
      <c r="AU102" s="63">
        <f t="shared" si="3"/>
        <v>14</v>
      </c>
      <c r="AV102" s="63">
        <f t="shared" si="4"/>
        <v>14</v>
      </c>
      <c r="AW102" s="63">
        <f t="shared" si="5"/>
        <v>0</v>
      </c>
      <c r="AX102" s="67">
        <f t="shared" si="6"/>
        <v>0</v>
      </c>
      <c r="AY102" s="63">
        <v>104008.0</v>
      </c>
    </row>
    <row r="103" ht="15.75" customHeight="1">
      <c r="A103" s="63" t="s">
        <v>795</v>
      </c>
      <c r="B103" s="63" t="s">
        <v>796</v>
      </c>
      <c r="C103" s="63" t="s">
        <v>797</v>
      </c>
      <c r="D103" s="63">
        <v>81082.0</v>
      </c>
      <c r="E103" s="63" t="s">
        <v>333</v>
      </c>
      <c r="F103" s="63">
        <v>29.0</v>
      </c>
      <c r="H103" s="63">
        <v>361.0</v>
      </c>
      <c r="I103" s="63">
        <v>160.0</v>
      </c>
      <c r="K103" s="63">
        <v>14.0</v>
      </c>
      <c r="L103" s="63">
        <v>345.0</v>
      </c>
      <c r="M103" s="63">
        <v>49.0</v>
      </c>
      <c r="N103" s="63">
        <v>254.0</v>
      </c>
      <c r="O103" s="63">
        <v>227.0</v>
      </c>
      <c r="P103" s="63">
        <v>391.0</v>
      </c>
      <c r="Q103" s="63">
        <v>10.0</v>
      </c>
      <c r="S103" s="63">
        <v>2.0</v>
      </c>
      <c r="T103" s="63">
        <v>1.0</v>
      </c>
      <c r="U103" s="63">
        <v>61.0</v>
      </c>
      <c r="W103" s="64">
        <v>11.0</v>
      </c>
      <c r="X103" s="63">
        <v>1.0</v>
      </c>
      <c r="AA103" s="63">
        <v>42.0</v>
      </c>
      <c r="AB103" s="63">
        <v>125.0</v>
      </c>
      <c r="AE103" s="63">
        <v>233.0</v>
      </c>
      <c r="AF103" s="63">
        <v>4.0</v>
      </c>
      <c r="AG103" s="63">
        <v>199.0</v>
      </c>
      <c r="AH103" s="63">
        <v>5.0</v>
      </c>
      <c r="AI103" s="63">
        <v>188.0</v>
      </c>
      <c r="AJ103" s="63">
        <v>1.0</v>
      </c>
      <c r="AL103" s="63">
        <v>1.0</v>
      </c>
      <c r="AN103" s="63">
        <v>5.0</v>
      </c>
      <c r="AP103" s="63">
        <v>5.0</v>
      </c>
      <c r="AR103" s="63">
        <v>9.0</v>
      </c>
      <c r="AS103" s="63">
        <f t="shared" si="1"/>
        <v>1362</v>
      </c>
      <c r="AT103" s="63">
        <f t="shared" si="2"/>
        <v>1345</v>
      </c>
      <c r="AU103" s="63">
        <f t="shared" si="3"/>
        <v>17</v>
      </c>
      <c r="AV103" s="63">
        <f t="shared" si="4"/>
        <v>17</v>
      </c>
      <c r="AW103" s="63">
        <f t="shared" si="5"/>
        <v>0</v>
      </c>
      <c r="AX103" s="67">
        <f t="shared" si="6"/>
        <v>0</v>
      </c>
      <c r="AY103" s="63">
        <v>104008.0</v>
      </c>
    </row>
    <row r="104" ht="15.75" customHeight="1">
      <c r="A104" s="63" t="s">
        <v>357</v>
      </c>
      <c r="B104" s="63" t="s">
        <v>358</v>
      </c>
      <c r="C104" s="63" t="s">
        <v>359</v>
      </c>
      <c r="D104" s="63">
        <v>80439.0</v>
      </c>
      <c r="E104" s="63" t="s">
        <v>239</v>
      </c>
      <c r="W104" s="64"/>
      <c r="AS104" s="63">
        <f t="shared" si="1"/>
        <v>0</v>
      </c>
      <c r="AT104" s="63">
        <f t="shared" si="2"/>
        <v>0</v>
      </c>
      <c r="AU104" s="63">
        <f t="shared" si="3"/>
        <v>0</v>
      </c>
      <c r="AV104" s="63">
        <f t="shared" si="4"/>
        <v>0</v>
      </c>
      <c r="AW104" s="63">
        <f t="shared" si="5"/>
        <v>0</v>
      </c>
      <c r="AX104" s="67">
        <f t="shared" si="6"/>
        <v>0</v>
      </c>
      <c r="AY104" s="63">
        <v>104008.0</v>
      </c>
    </row>
    <row r="105" ht="15.75" customHeight="1">
      <c r="A105" s="63" t="s">
        <v>1030</v>
      </c>
      <c r="B105" s="63" t="s">
        <v>1031</v>
      </c>
      <c r="C105" s="63" t="s">
        <v>1032</v>
      </c>
      <c r="D105" s="63">
        <v>80127.0</v>
      </c>
      <c r="E105" s="63" t="s">
        <v>239</v>
      </c>
      <c r="F105" s="63">
        <v>8.0</v>
      </c>
      <c r="G105" s="63">
        <v>25.0</v>
      </c>
      <c r="I105" s="63">
        <v>40.0</v>
      </c>
      <c r="K105" s="63">
        <v>20.0</v>
      </c>
      <c r="L105" s="63">
        <v>28.0</v>
      </c>
      <c r="N105" s="63">
        <v>91.0</v>
      </c>
      <c r="P105" s="63">
        <v>2.0</v>
      </c>
      <c r="S105" s="63">
        <v>1.0</v>
      </c>
      <c r="U105" s="63">
        <v>7.0</v>
      </c>
      <c r="W105" s="64">
        <v>8.0</v>
      </c>
      <c r="X105" s="63">
        <v>12.0</v>
      </c>
      <c r="AS105" s="63">
        <f t="shared" si="1"/>
        <v>121</v>
      </c>
      <c r="AT105" s="63">
        <f t="shared" si="2"/>
        <v>101</v>
      </c>
      <c r="AU105" s="63">
        <f t="shared" si="3"/>
        <v>20</v>
      </c>
      <c r="AV105" s="63">
        <f t="shared" si="4"/>
        <v>20</v>
      </c>
      <c r="AW105" s="63">
        <f t="shared" si="5"/>
        <v>0</v>
      </c>
      <c r="AX105" s="67">
        <f t="shared" si="6"/>
        <v>0</v>
      </c>
      <c r="AY105" s="63">
        <v>104008.0</v>
      </c>
    </row>
    <row r="106" ht="15.75" customHeight="1">
      <c r="A106" s="63" t="s">
        <v>549</v>
      </c>
      <c r="B106" s="63" t="s">
        <v>550</v>
      </c>
      <c r="C106" s="63" t="s">
        <v>551</v>
      </c>
      <c r="D106" s="63">
        <v>80517.0</v>
      </c>
      <c r="E106" s="63" t="s">
        <v>275</v>
      </c>
      <c r="F106" s="63">
        <v>1.0</v>
      </c>
      <c r="H106" s="63">
        <v>42.0</v>
      </c>
      <c r="M106" s="63">
        <v>3.0</v>
      </c>
      <c r="O106" s="63">
        <v>38.0</v>
      </c>
      <c r="P106" s="63">
        <v>8.0</v>
      </c>
      <c r="W106" s="64"/>
      <c r="AS106" s="63">
        <f t="shared" si="1"/>
        <v>46</v>
      </c>
      <c r="AT106" s="63">
        <f t="shared" si="2"/>
        <v>46</v>
      </c>
      <c r="AU106" s="63">
        <f t="shared" si="3"/>
        <v>0</v>
      </c>
      <c r="AV106" s="63">
        <f t="shared" si="4"/>
        <v>0</v>
      </c>
      <c r="AW106" s="63">
        <f t="shared" si="5"/>
        <v>0</v>
      </c>
      <c r="AX106" s="67">
        <f t="shared" si="6"/>
        <v>0</v>
      </c>
      <c r="AY106" s="63">
        <v>104008.0</v>
      </c>
    </row>
    <row r="107" ht="15.75" customHeight="1">
      <c r="A107" s="63" t="s">
        <v>886</v>
      </c>
      <c r="B107" s="63" t="s">
        <v>887</v>
      </c>
      <c r="C107" s="63" t="s">
        <v>888</v>
      </c>
      <c r="D107" s="63">
        <v>80634.0</v>
      </c>
      <c r="E107" s="63" t="s">
        <v>258</v>
      </c>
      <c r="W107" s="64"/>
      <c r="AS107" s="63">
        <f t="shared" si="1"/>
        <v>0</v>
      </c>
      <c r="AT107" s="63">
        <f t="shared" si="2"/>
        <v>0</v>
      </c>
      <c r="AU107" s="63">
        <f t="shared" si="3"/>
        <v>0</v>
      </c>
      <c r="AV107" s="63">
        <f t="shared" si="4"/>
        <v>0</v>
      </c>
      <c r="AW107" s="63">
        <f t="shared" si="5"/>
        <v>0</v>
      </c>
      <c r="AX107" s="67">
        <f t="shared" si="6"/>
        <v>0</v>
      </c>
      <c r="AY107" s="63">
        <v>104008.0</v>
      </c>
    </row>
    <row r="108" ht="15.75" customHeight="1">
      <c r="A108" s="63" t="s">
        <v>1002</v>
      </c>
      <c r="B108" s="63" t="s">
        <v>1003</v>
      </c>
      <c r="C108" s="63" t="s">
        <v>1004</v>
      </c>
      <c r="D108" s="63">
        <v>81422.0</v>
      </c>
      <c r="E108" s="63" t="s">
        <v>399</v>
      </c>
      <c r="W108" s="64"/>
      <c r="AS108" s="63">
        <f t="shared" si="1"/>
        <v>0</v>
      </c>
      <c r="AT108" s="63">
        <f t="shared" si="2"/>
        <v>0</v>
      </c>
      <c r="AU108" s="63">
        <f t="shared" si="3"/>
        <v>0</v>
      </c>
      <c r="AV108" s="63">
        <f t="shared" si="4"/>
        <v>0</v>
      </c>
      <c r="AW108" s="63">
        <f t="shared" si="5"/>
        <v>0</v>
      </c>
      <c r="AX108" s="67">
        <f t="shared" si="6"/>
        <v>0</v>
      </c>
      <c r="AY108" s="63">
        <v>104008.0</v>
      </c>
    </row>
    <row r="109" ht="15.75" customHeight="1">
      <c r="A109" s="63" t="s">
        <v>613</v>
      </c>
      <c r="B109" s="63" t="s">
        <v>614</v>
      </c>
      <c r="C109" s="63" t="s">
        <v>615</v>
      </c>
      <c r="D109" s="63">
        <v>81501.0</v>
      </c>
      <c r="E109" s="63" t="s">
        <v>417</v>
      </c>
      <c r="K109" s="63">
        <v>96.0</v>
      </c>
      <c r="N109" s="63">
        <v>96.0</v>
      </c>
      <c r="W109" s="64"/>
      <c r="AD109" s="63">
        <v>6.0</v>
      </c>
      <c r="AG109" s="63">
        <v>6.0</v>
      </c>
      <c r="AR109" s="63">
        <v>1.0</v>
      </c>
      <c r="AS109" s="63">
        <f t="shared" si="1"/>
        <v>102</v>
      </c>
      <c r="AT109" s="63">
        <f t="shared" si="2"/>
        <v>102</v>
      </c>
      <c r="AU109" s="63">
        <f t="shared" si="3"/>
        <v>0</v>
      </c>
      <c r="AV109" s="63">
        <f t="shared" si="4"/>
        <v>0</v>
      </c>
      <c r="AW109" s="63">
        <f t="shared" si="5"/>
        <v>0</v>
      </c>
      <c r="AX109" s="67">
        <f t="shared" si="6"/>
        <v>0</v>
      </c>
      <c r="AY109" s="63">
        <v>104008.0</v>
      </c>
    </row>
    <row r="110" ht="15.75" customHeight="1">
      <c r="A110" s="63" t="s">
        <v>543</v>
      </c>
      <c r="B110" s="63" t="s">
        <v>544</v>
      </c>
      <c r="C110" s="63" t="s">
        <v>545</v>
      </c>
      <c r="D110" s="63">
        <v>80615.0</v>
      </c>
      <c r="E110" s="63" t="s">
        <v>258</v>
      </c>
      <c r="F110" s="63">
        <v>2.0</v>
      </c>
      <c r="H110" s="63">
        <v>69.0</v>
      </c>
      <c r="I110" s="63">
        <v>3.0</v>
      </c>
      <c r="N110" s="63">
        <v>17.0</v>
      </c>
      <c r="O110" s="63">
        <v>53.0</v>
      </c>
      <c r="U110" s="63">
        <v>3.0</v>
      </c>
      <c r="W110" s="64">
        <v>1.0</v>
      </c>
      <c r="AS110" s="63">
        <f t="shared" si="1"/>
        <v>74</v>
      </c>
      <c r="AT110" s="63">
        <f t="shared" si="2"/>
        <v>73</v>
      </c>
      <c r="AU110" s="63">
        <f t="shared" si="3"/>
        <v>1</v>
      </c>
      <c r="AV110" s="63">
        <f t="shared" si="4"/>
        <v>1</v>
      </c>
      <c r="AW110" s="63">
        <f t="shared" si="5"/>
        <v>0</v>
      </c>
      <c r="AX110" s="67">
        <f t="shared" si="6"/>
        <v>0</v>
      </c>
      <c r="AY110" s="63">
        <v>104008.0</v>
      </c>
    </row>
    <row r="111" ht="15.75" customHeight="1">
      <c r="A111" s="63" t="s">
        <v>961</v>
      </c>
      <c r="B111" s="63" t="s">
        <v>962</v>
      </c>
      <c r="C111" s="63" t="s">
        <v>963</v>
      </c>
      <c r="D111" s="63">
        <v>80107.0</v>
      </c>
      <c r="E111" s="63" t="s">
        <v>313</v>
      </c>
      <c r="W111" s="64"/>
      <c r="AS111" s="63">
        <f t="shared" si="1"/>
        <v>0</v>
      </c>
      <c r="AT111" s="63">
        <f t="shared" si="2"/>
        <v>0</v>
      </c>
      <c r="AU111" s="63">
        <f t="shared" si="3"/>
        <v>0</v>
      </c>
      <c r="AV111" s="63">
        <f t="shared" si="4"/>
        <v>0</v>
      </c>
      <c r="AW111" s="63">
        <f t="shared" si="5"/>
        <v>0</v>
      </c>
      <c r="AX111" s="67">
        <f t="shared" si="6"/>
        <v>0</v>
      </c>
      <c r="AY111" s="63">
        <v>104008.0</v>
      </c>
    </row>
    <row r="112" ht="15.75" customHeight="1">
      <c r="A112" s="63" t="s">
        <v>964</v>
      </c>
      <c r="B112" s="63" t="s">
        <v>962</v>
      </c>
      <c r="C112" s="63" t="s">
        <v>965</v>
      </c>
      <c r="D112" s="63">
        <v>80204.0</v>
      </c>
      <c r="E112" s="63" t="s">
        <v>421</v>
      </c>
      <c r="W112" s="64"/>
      <c r="AS112" s="63">
        <f t="shared" si="1"/>
        <v>0</v>
      </c>
      <c r="AT112" s="63">
        <f t="shared" si="2"/>
        <v>0</v>
      </c>
      <c r="AU112" s="63">
        <f t="shared" si="3"/>
        <v>0</v>
      </c>
      <c r="AV112" s="63">
        <f t="shared" si="4"/>
        <v>0</v>
      </c>
      <c r="AW112" s="63">
        <f t="shared" si="5"/>
        <v>0</v>
      </c>
      <c r="AX112" s="67">
        <f t="shared" si="6"/>
        <v>0</v>
      </c>
      <c r="AY112" s="63">
        <v>104008.0</v>
      </c>
    </row>
    <row r="113" ht="15.75" customHeight="1">
      <c r="A113" s="63" t="s">
        <v>701</v>
      </c>
      <c r="B113" s="63" t="s">
        <v>702</v>
      </c>
      <c r="C113" s="63" t="s">
        <v>703</v>
      </c>
      <c r="D113" s="63">
        <v>81052.0</v>
      </c>
      <c r="E113" s="63" t="s">
        <v>395</v>
      </c>
      <c r="F113" s="63">
        <v>29.0</v>
      </c>
      <c r="H113" s="63">
        <v>16.0</v>
      </c>
      <c r="I113" s="63">
        <v>33.0</v>
      </c>
      <c r="K113" s="63">
        <v>15.0</v>
      </c>
      <c r="M113" s="63">
        <v>3.0</v>
      </c>
      <c r="N113" s="63">
        <v>30.0</v>
      </c>
      <c r="O113" s="63">
        <v>3.0</v>
      </c>
      <c r="P113" s="63">
        <v>30.0</v>
      </c>
      <c r="W113" s="64">
        <v>33.0</v>
      </c>
      <c r="AB113" s="63">
        <v>5.0</v>
      </c>
      <c r="AG113" s="63">
        <v>5.0</v>
      </c>
      <c r="AS113" s="63">
        <f t="shared" si="1"/>
        <v>101</v>
      </c>
      <c r="AT113" s="63">
        <f t="shared" si="2"/>
        <v>68</v>
      </c>
      <c r="AU113" s="63">
        <f t="shared" si="3"/>
        <v>33</v>
      </c>
      <c r="AV113" s="63">
        <f t="shared" si="4"/>
        <v>33</v>
      </c>
      <c r="AW113" s="63">
        <f t="shared" si="5"/>
        <v>0</v>
      </c>
      <c r="AX113" s="67">
        <f t="shared" si="6"/>
        <v>0</v>
      </c>
      <c r="AY113" s="63">
        <v>104008.0</v>
      </c>
    </row>
    <row r="114" ht="15.75" customHeight="1">
      <c r="A114" s="63" t="s">
        <v>774</v>
      </c>
      <c r="B114" s="63" t="s">
        <v>775</v>
      </c>
      <c r="C114" s="63" t="s">
        <v>776</v>
      </c>
      <c r="D114" s="63">
        <v>80226.0</v>
      </c>
      <c r="E114" s="63" t="s">
        <v>239</v>
      </c>
      <c r="G114" s="63">
        <v>3.0</v>
      </c>
      <c r="N114" s="63">
        <v>3.0</v>
      </c>
      <c r="W114" s="64"/>
      <c r="AS114" s="63">
        <f t="shared" si="1"/>
        <v>3</v>
      </c>
      <c r="AT114" s="63">
        <f t="shared" si="2"/>
        <v>3</v>
      </c>
      <c r="AU114" s="63">
        <f t="shared" si="3"/>
        <v>0</v>
      </c>
      <c r="AV114" s="63">
        <f t="shared" si="4"/>
        <v>0</v>
      </c>
      <c r="AW114" s="63">
        <f t="shared" si="5"/>
        <v>0</v>
      </c>
      <c r="AX114" s="67">
        <f t="shared" si="6"/>
        <v>0</v>
      </c>
      <c r="AY114" s="63">
        <v>104008.0</v>
      </c>
    </row>
    <row r="115" ht="15.75" customHeight="1">
      <c r="A115" s="63" t="s">
        <v>792</v>
      </c>
      <c r="B115" s="63" t="s">
        <v>793</v>
      </c>
      <c r="C115" s="63" t="s">
        <v>794</v>
      </c>
      <c r="D115" s="63" t="s">
        <v>520</v>
      </c>
      <c r="E115" s="63" t="s">
        <v>313</v>
      </c>
      <c r="G115" s="63">
        <v>13.0</v>
      </c>
      <c r="H115" s="63">
        <v>4.0</v>
      </c>
      <c r="I115" s="63">
        <v>8.0</v>
      </c>
      <c r="K115" s="63">
        <v>72.0</v>
      </c>
      <c r="L115" s="63">
        <v>141.0</v>
      </c>
      <c r="N115" s="63">
        <v>223.0</v>
      </c>
      <c r="U115" s="63">
        <v>2.0</v>
      </c>
      <c r="W115" s="64"/>
      <c r="X115" s="63">
        <v>13.0</v>
      </c>
      <c r="AB115" s="63">
        <v>2.0</v>
      </c>
      <c r="AD115" s="63">
        <v>5.0</v>
      </c>
      <c r="AE115" s="63">
        <v>25.0</v>
      </c>
      <c r="AG115" s="63">
        <v>23.0</v>
      </c>
      <c r="AQ115" s="63">
        <v>9.0</v>
      </c>
      <c r="AR115" s="63">
        <v>87.0</v>
      </c>
      <c r="AS115" s="63">
        <f t="shared" si="1"/>
        <v>270</v>
      </c>
      <c r="AT115" s="63">
        <f t="shared" si="2"/>
        <v>248</v>
      </c>
      <c r="AU115" s="63">
        <f t="shared" si="3"/>
        <v>22</v>
      </c>
      <c r="AV115" s="63">
        <f t="shared" si="4"/>
        <v>22</v>
      </c>
      <c r="AW115" s="63">
        <f t="shared" si="5"/>
        <v>0</v>
      </c>
      <c r="AX115" s="67">
        <f t="shared" si="6"/>
        <v>0</v>
      </c>
      <c r="AY115" s="63">
        <v>104008.0</v>
      </c>
    </row>
    <row r="116" ht="15.75" customHeight="1">
      <c r="A116" s="63" t="s">
        <v>850</v>
      </c>
      <c r="B116" s="63" t="s">
        <v>851</v>
      </c>
      <c r="C116" s="63" t="s">
        <v>852</v>
      </c>
      <c r="D116" s="63">
        <v>81008.0</v>
      </c>
      <c r="E116" s="63" t="s">
        <v>822</v>
      </c>
      <c r="F116" s="63">
        <v>48.0</v>
      </c>
      <c r="H116" s="63">
        <v>2126.0</v>
      </c>
      <c r="I116" s="63">
        <v>236.0</v>
      </c>
      <c r="J116" s="63">
        <v>341.0</v>
      </c>
      <c r="K116" s="63">
        <v>58.0</v>
      </c>
      <c r="L116" s="63">
        <v>3.0</v>
      </c>
      <c r="M116" s="63">
        <v>206.0</v>
      </c>
      <c r="N116" s="63">
        <v>559.0</v>
      </c>
      <c r="O116" s="63">
        <v>1207.0</v>
      </c>
      <c r="P116" s="63">
        <v>105.0</v>
      </c>
      <c r="Q116" s="63">
        <v>2.0</v>
      </c>
      <c r="S116" s="63">
        <v>14.0</v>
      </c>
      <c r="T116" s="63">
        <v>1.0</v>
      </c>
      <c r="U116" s="63">
        <v>746.0</v>
      </c>
      <c r="V116" s="63">
        <v>341.0</v>
      </c>
      <c r="W116" s="64">
        <v>41.0</v>
      </c>
      <c r="X116" s="63">
        <v>1.0</v>
      </c>
      <c r="Y116" s="63">
        <v>11.0</v>
      </c>
      <c r="AA116" s="63">
        <v>170.0</v>
      </c>
      <c r="AB116" s="63">
        <v>83.0</v>
      </c>
      <c r="AD116" s="63">
        <v>47.0</v>
      </c>
      <c r="AF116" s="63">
        <v>29.0</v>
      </c>
      <c r="AG116" s="63">
        <v>184.0</v>
      </c>
      <c r="AH116" s="63">
        <v>46.0</v>
      </c>
      <c r="AI116" s="63">
        <v>60.0</v>
      </c>
      <c r="AL116" s="63">
        <v>6.0</v>
      </c>
      <c r="AN116" s="63">
        <v>43.0</v>
      </c>
      <c r="AP116" s="63">
        <v>1.0</v>
      </c>
      <c r="AQ116" s="63">
        <v>1.0</v>
      </c>
      <c r="AR116" s="63">
        <v>9.0</v>
      </c>
      <c r="AS116" s="63">
        <f t="shared" si="1"/>
        <v>3358</v>
      </c>
      <c r="AT116" s="63">
        <f t="shared" si="2"/>
        <v>3314</v>
      </c>
      <c r="AU116" s="63">
        <f t="shared" si="3"/>
        <v>44</v>
      </c>
      <c r="AV116" s="63">
        <f t="shared" si="4"/>
        <v>44</v>
      </c>
      <c r="AW116" s="63">
        <f t="shared" si="5"/>
        <v>0</v>
      </c>
      <c r="AX116" s="67">
        <f t="shared" si="6"/>
        <v>0</v>
      </c>
      <c r="AY116" s="63">
        <v>104008.0</v>
      </c>
    </row>
    <row r="117" ht="15.75" customHeight="1">
      <c r="A117" s="63" t="s">
        <v>567</v>
      </c>
      <c r="B117" s="63" t="s">
        <v>568</v>
      </c>
      <c r="C117" s="63" t="s">
        <v>569</v>
      </c>
      <c r="D117" s="63">
        <v>81321.0</v>
      </c>
      <c r="E117" s="63" t="s">
        <v>380</v>
      </c>
      <c r="W117" s="64"/>
      <c r="AA117" s="63">
        <v>2.0</v>
      </c>
      <c r="AG117" s="63">
        <v>2.0</v>
      </c>
      <c r="AR117" s="63">
        <v>58.0</v>
      </c>
      <c r="AS117" s="63">
        <f t="shared" si="1"/>
        <v>2</v>
      </c>
      <c r="AT117" s="63">
        <f t="shared" si="2"/>
        <v>2</v>
      </c>
      <c r="AU117" s="63">
        <f t="shared" si="3"/>
        <v>0</v>
      </c>
      <c r="AV117" s="63">
        <f t="shared" si="4"/>
        <v>0</v>
      </c>
      <c r="AW117" s="63">
        <f t="shared" si="5"/>
        <v>0</v>
      </c>
      <c r="AX117" s="67">
        <f t="shared" si="6"/>
        <v>0</v>
      </c>
      <c r="AY117" s="63">
        <v>104008.0</v>
      </c>
    </row>
    <row r="118" ht="15.75" customHeight="1">
      <c r="A118" s="63" t="s">
        <v>829</v>
      </c>
      <c r="B118" s="63" t="s">
        <v>830</v>
      </c>
      <c r="C118" s="63" t="s">
        <v>831</v>
      </c>
      <c r="D118" s="63">
        <v>80864.0</v>
      </c>
      <c r="E118" s="63" t="s">
        <v>243</v>
      </c>
      <c r="F118" s="63">
        <v>17.0</v>
      </c>
      <c r="K118" s="63">
        <v>2.0</v>
      </c>
      <c r="L118" s="63">
        <v>3.0</v>
      </c>
      <c r="N118" s="63">
        <v>4.0</v>
      </c>
      <c r="U118" s="63">
        <v>1.0</v>
      </c>
      <c r="W118" s="64">
        <v>17.0</v>
      </c>
      <c r="AS118" s="63">
        <f t="shared" si="1"/>
        <v>22</v>
      </c>
      <c r="AT118" s="63">
        <f t="shared" si="2"/>
        <v>5</v>
      </c>
      <c r="AU118" s="63">
        <f t="shared" si="3"/>
        <v>17</v>
      </c>
      <c r="AV118" s="63">
        <f t="shared" si="4"/>
        <v>17</v>
      </c>
      <c r="AW118" s="63">
        <f t="shared" si="5"/>
        <v>0</v>
      </c>
      <c r="AX118" s="67">
        <f t="shared" si="6"/>
        <v>0</v>
      </c>
      <c r="AY118" s="63">
        <v>104008.0</v>
      </c>
    </row>
    <row r="119" ht="15.75" customHeight="1">
      <c r="A119" s="63" t="s">
        <v>573</v>
      </c>
      <c r="B119" s="63" t="s">
        <v>574</v>
      </c>
      <c r="C119" s="63" t="s">
        <v>575</v>
      </c>
      <c r="D119" s="63">
        <v>80524.0</v>
      </c>
      <c r="E119" s="63" t="s">
        <v>275</v>
      </c>
      <c r="W119" s="64"/>
      <c r="AS119" s="63">
        <f t="shared" si="1"/>
        <v>0</v>
      </c>
      <c r="AT119" s="63">
        <f t="shared" si="2"/>
        <v>0</v>
      </c>
      <c r="AU119" s="63">
        <f t="shared" si="3"/>
        <v>0</v>
      </c>
      <c r="AV119" s="63">
        <f t="shared" si="4"/>
        <v>0</v>
      </c>
      <c r="AW119" s="63">
        <f t="shared" si="5"/>
        <v>0</v>
      </c>
      <c r="AX119" s="67">
        <f t="shared" si="6"/>
        <v>0</v>
      </c>
      <c r="AY119" s="63">
        <v>104008.0</v>
      </c>
    </row>
    <row r="120" ht="15.75" customHeight="1">
      <c r="A120" s="63" t="s">
        <v>479</v>
      </c>
      <c r="B120" s="63" t="s">
        <v>480</v>
      </c>
      <c r="C120" s="63" t="s">
        <v>481</v>
      </c>
      <c r="D120" s="63">
        <v>80436.0</v>
      </c>
      <c r="E120" s="63" t="s">
        <v>482</v>
      </c>
      <c r="F120" s="63">
        <v>15.0</v>
      </c>
      <c r="G120" s="63">
        <v>3.0</v>
      </c>
      <c r="H120" s="63">
        <v>168.0</v>
      </c>
      <c r="I120" s="63">
        <v>50.0</v>
      </c>
      <c r="K120" s="63">
        <v>3.0</v>
      </c>
      <c r="L120" s="63">
        <v>74.0</v>
      </c>
      <c r="M120" s="63">
        <v>35.0</v>
      </c>
      <c r="N120" s="63">
        <v>132.0</v>
      </c>
      <c r="O120" s="63">
        <v>160.0</v>
      </c>
      <c r="P120" s="63">
        <v>18.0</v>
      </c>
      <c r="V120" s="63">
        <v>1.0</v>
      </c>
      <c r="W120" s="64">
        <v>23.0</v>
      </c>
      <c r="X120" s="63">
        <v>14.0</v>
      </c>
      <c r="AS120" s="63">
        <f t="shared" si="1"/>
        <v>348</v>
      </c>
      <c r="AT120" s="63">
        <f t="shared" si="2"/>
        <v>311</v>
      </c>
      <c r="AU120" s="63">
        <f t="shared" si="3"/>
        <v>37</v>
      </c>
      <c r="AV120" s="63">
        <f t="shared" si="4"/>
        <v>37</v>
      </c>
      <c r="AW120" s="63">
        <f t="shared" si="5"/>
        <v>0</v>
      </c>
      <c r="AX120" s="67">
        <f t="shared" si="6"/>
        <v>0</v>
      </c>
      <c r="AY120" s="63">
        <v>104008.0</v>
      </c>
    </row>
    <row r="121" ht="15.75" customHeight="1">
      <c r="A121" s="63" t="s">
        <v>940</v>
      </c>
      <c r="B121" s="63" t="s">
        <v>941</v>
      </c>
      <c r="C121" s="63" t="s">
        <v>942</v>
      </c>
      <c r="D121" s="63">
        <v>81005.0</v>
      </c>
      <c r="E121" s="63" t="s">
        <v>822</v>
      </c>
      <c r="F121" s="63">
        <v>12.0</v>
      </c>
      <c r="H121" s="63">
        <v>17.0</v>
      </c>
      <c r="I121" s="63">
        <v>15.0</v>
      </c>
      <c r="L121" s="63">
        <v>1.0</v>
      </c>
      <c r="M121" s="63">
        <v>0.0</v>
      </c>
      <c r="N121" s="63">
        <v>35.0</v>
      </c>
      <c r="O121" s="63">
        <v>2.0</v>
      </c>
      <c r="W121" s="64">
        <v>8.0</v>
      </c>
      <c r="AA121" s="63">
        <v>3.0</v>
      </c>
      <c r="AB121" s="63">
        <v>7.0</v>
      </c>
      <c r="AG121" s="63">
        <v>8.0</v>
      </c>
      <c r="AL121" s="63">
        <v>2.0</v>
      </c>
      <c r="AR121" s="63">
        <v>12.0</v>
      </c>
      <c r="AS121" s="63">
        <f t="shared" si="1"/>
        <v>55</v>
      </c>
      <c r="AT121" s="63">
        <f t="shared" si="2"/>
        <v>47</v>
      </c>
      <c r="AU121" s="63">
        <f t="shared" si="3"/>
        <v>8</v>
      </c>
      <c r="AV121" s="63">
        <f t="shared" si="4"/>
        <v>8</v>
      </c>
      <c r="AW121" s="63">
        <f t="shared" si="5"/>
        <v>0</v>
      </c>
      <c r="AX121" s="67">
        <f t="shared" si="6"/>
        <v>0</v>
      </c>
      <c r="AY121" s="63">
        <v>104008.0</v>
      </c>
    </row>
    <row r="122" ht="15.75" customHeight="1">
      <c r="A122" s="63" t="s">
        <v>276</v>
      </c>
      <c r="B122" s="63" t="s">
        <v>277</v>
      </c>
      <c r="C122" s="63" t="s">
        <v>278</v>
      </c>
      <c r="D122" s="63">
        <v>80503.0</v>
      </c>
      <c r="E122" s="63" t="s">
        <v>279</v>
      </c>
      <c r="W122" s="64"/>
      <c r="AS122" s="63">
        <f t="shared" si="1"/>
        <v>0</v>
      </c>
      <c r="AT122" s="63">
        <f t="shared" si="2"/>
        <v>0</v>
      </c>
      <c r="AU122" s="63">
        <f t="shared" si="3"/>
        <v>0</v>
      </c>
      <c r="AV122" s="63">
        <f t="shared" si="4"/>
        <v>0</v>
      </c>
      <c r="AW122" s="63">
        <f t="shared" si="5"/>
        <v>0</v>
      </c>
      <c r="AX122" s="67">
        <f t="shared" si="6"/>
        <v>0</v>
      </c>
      <c r="AY122" s="63">
        <v>104008.0</v>
      </c>
    </row>
    <row r="123" ht="15.75" customHeight="1">
      <c r="A123" s="63" t="s">
        <v>729</v>
      </c>
      <c r="B123" s="63" t="s">
        <v>730</v>
      </c>
      <c r="C123" s="63" t="s">
        <v>731</v>
      </c>
      <c r="D123" s="63">
        <v>81505.0</v>
      </c>
      <c r="E123" s="63" t="s">
        <v>417</v>
      </c>
      <c r="W123" s="64"/>
      <c r="AS123" s="63">
        <f t="shared" si="1"/>
        <v>0</v>
      </c>
      <c r="AT123" s="63">
        <f t="shared" si="2"/>
        <v>0</v>
      </c>
      <c r="AU123" s="63">
        <f t="shared" si="3"/>
        <v>0</v>
      </c>
      <c r="AV123" s="63">
        <f t="shared" si="4"/>
        <v>0</v>
      </c>
      <c r="AW123" s="63">
        <f t="shared" si="5"/>
        <v>0</v>
      </c>
      <c r="AX123" s="67">
        <f t="shared" si="6"/>
        <v>0</v>
      </c>
      <c r="AY123" s="63">
        <v>104008.0</v>
      </c>
    </row>
    <row r="124" ht="15.75" customHeight="1">
      <c r="A124" s="63" t="s">
        <v>540</v>
      </c>
      <c r="B124" s="63" t="s">
        <v>541</v>
      </c>
      <c r="C124" s="63" t="s">
        <v>542</v>
      </c>
      <c r="D124" s="63">
        <v>81631.0</v>
      </c>
      <c r="E124" s="63" t="s">
        <v>539</v>
      </c>
      <c r="I124" s="63">
        <v>11.0</v>
      </c>
      <c r="K124" s="63">
        <v>4.0</v>
      </c>
      <c r="N124" s="63">
        <v>14.0</v>
      </c>
      <c r="U124" s="63">
        <v>1.0</v>
      </c>
      <c r="W124" s="64"/>
      <c r="AD124" s="63">
        <v>5.0</v>
      </c>
      <c r="AG124" s="63">
        <v>5.0</v>
      </c>
      <c r="AR124" s="63">
        <v>49.0</v>
      </c>
      <c r="AS124" s="63">
        <f t="shared" si="1"/>
        <v>20</v>
      </c>
      <c r="AT124" s="63">
        <f t="shared" si="2"/>
        <v>20</v>
      </c>
      <c r="AU124" s="63">
        <f t="shared" si="3"/>
        <v>0</v>
      </c>
      <c r="AV124" s="63">
        <f t="shared" si="4"/>
        <v>0</v>
      </c>
      <c r="AW124" s="63">
        <f t="shared" si="5"/>
        <v>0</v>
      </c>
      <c r="AX124" s="67">
        <f t="shared" si="6"/>
        <v>0</v>
      </c>
      <c r="AY124" s="63">
        <v>104008.0</v>
      </c>
    </row>
    <row r="125" ht="15.75" customHeight="1">
      <c r="A125" s="63" t="s">
        <v>429</v>
      </c>
      <c r="B125" s="63" t="s">
        <v>430</v>
      </c>
      <c r="C125" s="63" t="s">
        <v>431</v>
      </c>
      <c r="D125" s="63">
        <v>80229.0</v>
      </c>
      <c r="E125" s="63" t="s">
        <v>250</v>
      </c>
      <c r="F125" s="63">
        <v>1.0</v>
      </c>
      <c r="N125" s="63">
        <v>1.0</v>
      </c>
      <c r="W125" s="64"/>
      <c r="AB125" s="63">
        <v>2.0</v>
      </c>
      <c r="AG125" s="63">
        <v>2.0</v>
      </c>
      <c r="AR125" s="63">
        <v>5.0</v>
      </c>
      <c r="AS125" s="63">
        <f t="shared" si="1"/>
        <v>3</v>
      </c>
      <c r="AT125" s="63">
        <f t="shared" si="2"/>
        <v>3</v>
      </c>
      <c r="AU125" s="63">
        <f t="shared" si="3"/>
        <v>0</v>
      </c>
      <c r="AV125" s="63">
        <f t="shared" si="4"/>
        <v>0</v>
      </c>
      <c r="AW125" s="63">
        <f t="shared" si="5"/>
        <v>0</v>
      </c>
      <c r="AX125" s="67">
        <f t="shared" si="6"/>
        <v>0</v>
      </c>
      <c r="AY125" s="63">
        <v>104008.0</v>
      </c>
    </row>
    <row r="126" ht="15.75" customHeight="1">
      <c r="A126" s="63" t="s">
        <v>591</v>
      </c>
      <c r="B126" s="63" t="s">
        <v>592</v>
      </c>
      <c r="C126" s="63" t="s">
        <v>593</v>
      </c>
      <c r="D126" s="63">
        <v>80449.0</v>
      </c>
      <c r="E126" s="63" t="s">
        <v>486</v>
      </c>
      <c r="F126" s="63">
        <v>1.0</v>
      </c>
      <c r="I126" s="63">
        <v>13.0</v>
      </c>
      <c r="N126" s="63">
        <v>13.0</v>
      </c>
      <c r="W126" s="64">
        <v>1.0</v>
      </c>
      <c r="AS126" s="63">
        <f t="shared" si="1"/>
        <v>14</v>
      </c>
      <c r="AT126" s="63">
        <f t="shared" si="2"/>
        <v>13</v>
      </c>
      <c r="AU126" s="63">
        <f t="shared" si="3"/>
        <v>1</v>
      </c>
      <c r="AV126" s="63">
        <f t="shared" si="4"/>
        <v>1</v>
      </c>
      <c r="AW126" s="63">
        <f t="shared" si="5"/>
        <v>0</v>
      </c>
      <c r="AX126" s="67">
        <f t="shared" si="6"/>
        <v>0</v>
      </c>
      <c r="AY126" s="63">
        <v>104008.0</v>
      </c>
    </row>
    <row r="127" ht="15.75" customHeight="1">
      <c r="A127" s="63" t="s">
        <v>931</v>
      </c>
      <c r="B127" s="63" t="s">
        <v>932</v>
      </c>
      <c r="C127" s="63" t="s">
        <v>933</v>
      </c>
      <c r="D127" s="63">
        <v>80121.0</v>
      </c>
      <c r="E127" s="63" t="s">
        <v>350</v>
      </c>
      <c r="F127" s="63">
        <v>14.0</v>
      </c>
      <c r="G127" s="63">
        <v>14.0</v>
      </c>
      <c r="H127" s="63">
        <v>2.0</v>
      </c>
      <c r="I127" s="63">
        <v>12.0</v>
      </c>
      <c r="K127" s="63">
        <v>9.0</v>
      </c>
      <c r="L127" s="63">
        <v>4.0</v>
      </c>
      <c r="M127" s="63">
        <v>1.0</v>
      </c>
      <c r="N127" s="63">
        <v>25.0</v>
      </c>
      <c r="W127" s="64">
        <v>16.0</v>
      </c>
      <c r="X127" s="63">
        <v>16.0</v>
      </c>
      <c r="Y127" s="63">
        <v>1.0</v>
      </c>
      <c r="Z127" s="63">
        <v>1.0</v>
      </c>
      <c r="AG127" s="63">
        <v>1.0</v>
      </c>
      <c r="AR127" s="63">
        <v>111.0</v>
      </c>
      <c r="AS127" s="63">
        <f t="shared" si="1"/>
        <v>58</v>
      </c>
      <c r="AT127" s="63">
        <f t="shared" si="2"/>
        <v>26</v>
      </c>
      <c r="AU127" s="63">
        <f t="shared" si="3"/>
        <v>32</v>
      </c>
      <c r="AV127" s="63">
        <f t="shared" si="4"/>
        <v>32</v>
      </c>
      <c r="AW127" s="63">
        <f t="shared" si="5"/>
        <v>0</v>
      </c>
      <c r="AX127" s="67">
        <f t="shared" si="6"/>
        <v>0</v>
      </c>
      <c r="AY127" s="63">
        <v>104008.0</v>
      </c>
    </row>
    <row r="128" ht="15.75" customHeight="1">
      <c r="A128" s="63" t="s">
        <v>514</v>
      </c>
      <c r="B128" s="63" t="s">
        <v>515</v>
      </c>
      <c r="C128" s="63" t="s">
        <v>516</v>
      </c>
      <c r="D128" s="63">
        <v>81652.0</v>
      </c>
      <c r="E128" s="63" t="s">
        <v>425</v>
      </c>
      <c r="H128" s="63">
        <v>143.0</v>
      </c>
      <c r="P128" s="63">
        <v>143.0</v>
      </c>
      <c r="W128" s="64"/>
      <c r="AS128" s="63">
        <f t="shared" si="1"/>
        <v>143</v>
      </c>
      <c r="AT128" s="63">
        <f t="shared" si="2"/>
        <v>143</v>
      </c>
      <c r="AU128" s="63">
        <f t="shared" si="3"/>
        <v>0</v>
      </c>
      <c r="AV128" s="63">
        <f t="shared" si="4"/>
        <v>0</v>
      </c>
      <c r="AW128" s="63">
        <f t="shared" si="5"/>
        <v>0</v>
      </c>
      <c r="AX128" s="67">
        <f t="shared" si="6"/>
        <v>0</v>
      </c>
      <c r="AY128" s="63">
        <v>104008.0</v>
      </c>
    </row>
    <row r="129" ht="15.75" customHeight="1">
      <c r="A129" s="63" t="s">
        <v>576</v>
      </c>
      <c r="B129" s="63" t="s">
        <v>577</v>
      </c>
      <c r="C129" s="63" t="s">
        <v>578</v>
      </c>
      <c r="D129" s="63">
        <v>80701.0</v>
      </c>
      <c r="E129" s="63" t="s">
        <v>372</v>
      </c>
      <c r="F129" s="63">
        <v>5.0</v>
      </c>
      <c r="H129" s="63">
        <v>485.0</v>
      </c>
      <c r="I129" s="63">
        <v>8.0</v>
      </c>
      <c r="K129" s="63">
        <v>25.0</v>
      </c>
      <c r="M129" s="63">
        <v>12.0</v>
      </c>
      <c r="N129" s="63">
        <v>162.0</v>
      </c>
      <c r="O129" s="63">
        <v>290.0</v>
      </c>
      <c r="P129" s="63">
        <v>70.0</v>
      </c>
      <c r="S129" s="63">
        <v>1.0</v>
      </c>
      <c r="U129" s="63">
        <v>5.0</v>
      </c>
      <c r="W129" s="64">
        <v>14.0</v>
      </c>
      <c r="AA129" s="63">
        <v>17.0</v>
      </c>
      <c r="AD129" s="63">
        <v>9.0</v>
      </c>
      <c r="AG129" s="63">
        <v>15.0</v>
      </c>
      <c r="AH129" s="63">
        <v>2.0</v>
      </c>
      <c r="AI129" s="63">
        <v>1.0</v>
      </c>
      <c r="AN129" s="63">
        <v>1.0</v>
      </c>
      <c r="AR129" s="63">
        <v>15.0</v>
      </c>
      <c r="AS129" s="63">
        <f t="shared" si="1"/>
        <v>561</v>
      </c>
      <c r="AT129" s="63">
        <f t="shared" si="2"/>
        <v>547</v>
      </c>
      <c r="AU129" s="63">
        <f t="shared" si="3"/>
        <v>14</v>
      </c>
      <c r="AV129" s="63">
        <f t="shared" si="4"/>
        <v>14</v>
      </c>
      <c r="AW129" s="63">
        <f t="shared" si="5"/>
        <v>0</v>
      </c>
      <c r="AX129" s="67">
        <f t="shared" si="6"/>
        <v>0</v>
      </c>
      <c r="AY129" s="63">
        <v>104008.0</v>
      </c>
    </row>
    <row r="130" ht="15.75" customHeight="1">
      <c r="A130" s="63" t="s">
        <v>744</v>
      </c>
      <c r="B130" s="63" t="s">
        <v>745</v>
      </c>
      <c r="C130" s="63" t="s">
        <v>746</v>
      </c>
      <c r="D130" s="63">
        <v>80403.0</v>
      </c>
      <c r="E130" s="63" t="s">
        <v>239</v>
      </c>
      <c r="W130" s="64"/>
      <c r="AS130" s="63">
        <f t="shared" si="1"/>
        <v>0</v>
      </c>
      <c r="AT130" s="63">
        <f t="shared" si="2"/>
        <v>0</v>
      </c>
      <c r="AU130" s="63">
        <f t="shared" si="3"/>
        <v>0</v>
      </c>
      <c r="AV130" s="63">
        <f t="shared" si="4"/>
        <v>0</v>
      </c>
      <c r="AW130" s="63">
        <f t="shared" si="5"/>
        <v>0</v>
      </c>
      <c r="AX130" s="67">
        <f t="shared" si="6"/>
        <v>0</v>
      </c>
      <c r="AY130" s="63">
        <v>104008.0</v>
      </c>
    </row>
    <row r="131" ht="15.75" customHeight="1">
      <c r="A131" s="63" t="s">
        <v>414</v>
      </c>
      <c r="B131" s="63" t="s">
        <v>415</v>
      </c>
      <c r="C131" s="63" t="s">
        <v>416</v>
      </c>
      <c r="D131" s="63">
        <v>81505.0</v>
      </c>
      <c r="E131" s="63" t="s">
        <v>417</v>
      </c>
      <c r="W131" s="64"/>
      <c r="AS131" s="63">
        <f t="shared" si="1"/>
        <v>0</v>
      </c>
      <c r="AT131" s="63">
        <f t="shared" si="2"/>
        <v>0</v>
      </c>
      <c r="AU131" s="63">
        <f t="shared" si="3"/>
        <v>0</v>
      </c>
      <c r="AV131" s="63">
        <f t="shared" si="4"/>
        <v>0</v>
      </c>
      <c r="AW131" s="63">
        <f t="shared" si="5"/>
        <v>0</v>
      </c>
      <c r="AX131" s="67">
        <f t="shared" si="6"/>
        <v>0</v>
      </c>
      <c r="AY131" s="63">
        <v>104008.0</v>
      </c>
    </row>
    <row r="132" ht="15.75" customHeight="1">
      <c r="A132" s="63" t="s">
        <v>469</v>
      </c>
      <c r="B132" s="63" t="s">
        <v>470</v>
      </c>
      <c r="C132" s="63" t="s">
        <v>471</v>
      </c>
      <c r="D132" s="63">
        <v>80524.0</v>
      </c>
      <c r="E132" s="63" t="s">
        <v>275</v>
      </c>
      <c r="G132" s="63">
        <v>11.0</v>
      </c>
      <c r="H132" s="63">
        <v>1.0</v>
      </c>
      <c r="I132" s="63">
        <v>27.0</v>
      </c>
      <c r="L132" s="63">
        <v>5.0</v>
      </c>
      <c r="N132" s="63">
        <v>30.0</v>
      </c>
      <c r="U132" s="63">
        <v>1.0</v>
      </c>
      <c r="W132" s="64"/>
      <c r="X132" s="63">
        <v>13.0</v>
      </c>
      <c r="AA132" s="63">
        <v>1.0</v>
      </c>
      <c r="AB132" s="63">
        <v>2.0</v>
      </c>
      <c r="AG132" s="63">
        <v>3.0</v>
      </c>
      <c r="AR132" s="63">
        <v>60.0</v>
      </c>
      <c r="AS132" s="63">
        <f t="shared" si="1"/>
        <v>47</v>
      </c>
      <c r="AT132" s="63">
        <f t="shared" si="2"/>
        <v>34</v>
      </c>
      <c r="AU132" s="63">
        <f t="shared" si="3"/>
        <v>13</v>
      </c>
      <c r="AV132" s="63">
        <f t="shared" si="4"/>
        <v>13</v>
      </c>
      <c r="AW132" s="63">
        <f t="shared" si="5"/>
        <v>0</v>
      </c>
      <c r="AX132" s="67">
        <f t="shared" si="6"/>
        <v>0</v>
      </c>
      <c r="AY132" s="63">
        <v>104008.0</v>
      </c>
    </row>
    <row r="133" ht="15.75" customHeight="1">
      <c r="A133" s="63" t="s">
        <v>652</v>
      </c>
      <c r="B133" s="63" t="s">
        <v>653</v>
      </c>
      <c r="C133" s="63" t="s">
        <v>654</v>
      </c>
      <c r="D133" s="63">
        <v>81422.0</v>
      </c>
      <c r="E133" s="63" t="s">
        <v>399</v>
      </c>
      <c r="H133" s="63">
        <v>22.0</v>
      </c>
      <c r="I133" s="63">
        <v>2.0</v>
      </c>
      <c r="N133" s="63">
        <v>3.0</v>
      </c>
      <c r="O133" s="63">
        <v>17.0</v>
      </c>
      <c r="P133" s="63">
        <v>4.0</v>
      </c>
      <c r="W133" s="64"/>
      <c r="AA133" s="63">
        <v>8.0</v>
      </c>
      <c r="AB133" s="63">
        <v>5.0</v>
      </c>
      <c r="AG133" s="63">
        <v>8.0</v>
      </c>
      <c r="AH133" s="63">
        <v>2.0</v>
      </c>
      <c r="AI133" s="63">
        <v>3.0</v>
      </c>
      <c r="AR133" s="63">
        <v>10.0</v>
      </c>
      <c r="AS133" s="63">
        <f t="shared" si="1"/>
        <v>37</v>
      </c>
      <c r="AT133" s="63">
        <f t="shared" si="2"/>
        <v>37</v>
      </c>
      <c r="AU133" s="63">
        <f t="shared" si="3"/>
        <v>0</v>
      </c>
      <c r="AV133" s="63">
        <f t="shared" si="4"/>
        <v>0</v>
      </c>
      <c r="AW133" s="63">
        <f t="shared" si="5"/>
        <v>0</v>
      </c>
      <c r="AX133" s="67">
        <f t="shared" si="6"/>
        <v>0</v>
      </c>
      <c r="AY133" s="63">
        <v>104008.0</v>
      </c>
    </row>
    <row r="134" ht="15.75" customHeight="1">
      <c r="A134" s="63" t="s">
        <v>671</v>
      </c>
      <c r="B134" s="63" t="s">
        <v>672</v>
      </c>
      <c r="C134" s="63" t="s">
        <v>673</v>
      </c>
      <c r="D134" s="63">
        <v>80120.0</v>
      </c>
      <c r="E134" s="63" t="s">
        <v>350</v>
      </c>
      <c r="F134" s="63">
        <v>23.0</v>
      </c>
      <c r="G134" s="63">
        <v>7.0</v>
      </c>
      <c r="H134" s="63">
        <v>550.0</v>
      </c>
      <c r="I134" s="63">
        <v>145.0</v>
      </c>
      <c r="J134" s="63">
        <v>39.0</v>
      </c>
      <c r="K134" s="63">
        <v>377.0</v>
      </c>
      <c r="M134" s="63">
        <v>82.0</v>
      </c>
      <c r="N134" s="63">
        <v>709.0</v>
      </c>
      <c r="O134" s="63">
        <v>377.0</v>
      </c>
      <c r="P134" s="63">
        <v>27.0</v>
      </c>
      <c r="Q134" s="63">
        <v>1.0</v>
      </c>
      <c r="S134" s="63">
        <v>1.0</v>
      </c>
      <c r="U134" s="63">
        <v>17.0</v>
      </c>
      <c r="V134" s="63">
        <v>39.0</v>
      </c>
      <c r="W134" s="64">
        <v>41.0</v>
      </c>
      <c r="X134" s="63">
        <v>11.0</v>
      </c>
      <c r="Y134" s="63">
        <v>1.0</v>
      </c>
      <c r="Z134" s="63">
        <v>2.0</v>
      </c>
      <c r="AA134" s="63">
        <v>16.0</v>
      </c>
      <c r="AB134" s="63">
        <v>10.0</v>
      </c>
      <c r="AD134" s="63">
        <v>38.0</v>
      </c>
      <c r="AF134" s="63">
        <v>4.0</v>
      </c>
      <c r="AG134" s="63">
        <v>55.0</v>
      </c>
      <c r="AH134" s="63">
        <v>4.0</v>
      </c>
      <c r="AI134" s="63">
        <v>1.0</v>
      </c>
      <c r="AL134" s="63">
        <v>1.0</v>
      </c>
      <c r="AN134" s="63">
        <v>2.0</v>
      </c>
      <c r="AP134" s="63">
        <v>1.0</v>
      </c>
      <c r="AQ134" s="63">
        <v>7.0</v>
      </c>
      <c r="AR134" s="63">
        <v>17.0</v>
      </c>
      <c r="AS134" s="63">
        <f t="shared" si="1"/>
        <v>1294</v>
      </c>
      <c r="AT134" s="63">
        <f t="shared" si="2"/>
        <v>1234</v>
      </c>
      <c r="AU134" s="63">
        <f t="shared" si="3"/>
        <v>60</v>
      </c>
      <c r="AV134" s="63">
        <f t="shared" si="4"/>
        <v>60</v>
      </c>
      <c r="AW134" s="63">
        <f t="shared" si="5"/>
        <v>0</v>
      </c>
      <c r="AX134" s="67">
        <f t="shared" si="6"/>
        <v>0</v>
      </c>
      <c r="AY134" s="63">
        <v>104008.0</v>
      </c>
    </row>
    <row r="135" ht="15.75" customHeight="1">
      <c r="A135" s="63" t="s">
        <v>320</v>
      </c>
      <c r="B135" s="63" t="s">
        <v>321</v>
      </c>
      <c r="C135" s="63" t="s">
        <v>322</v>
      </c>
      <c r="D135" s="63">
        <v>81415.0</v>
      </c>
      <c r="E135" s="63" t="s">
        <v>323</v>
      </c>
      <c r="F135" s="63">
        <v>75.0</v>
      </c>
      <c r="H135" s="63">
        <v>13.0</v>
      </c>
      <c r="I135" s="63">
        <v>48.0</v>
      </c>
      <c r="K135" s="63">
        <v>6.0</v>
      </c>
      <c r="N135" s="63">
        <v>68.0</v>
      </c>
      <c r="P135" s="63">
        <v>5.0</v>
      </c>
      <c r="S135" s="63">
        <v>3.0</v>
      </c>
      <c r="U135" s="63">
        <v>7.0</v>
      </c>
      <c r="W135" s="64">
        <v>59.0</v>
      </c>
      <c r="Y135" s="63">
        <v>8.0</v>
      </c>
      <c r="AA135" s="63">
        <v>1.0</v>
      </c>
      <c r="AB135" s="63">
        <v>1.0</v>
      </c>
      <c r="AE135" s="63">
        <v>11.0</v>
      </c>
      <c r="AG135" s="63">
        <v>17.0</v>
      </c>
      <c r="AI135" s="63">
        <v>1.0</v>
      </c>
      <c r="AP135" s="63">
        <v>3.0</v>
      </c>
      <c r="AR135" s="63">
        <v>55.0</v>
      </c>
      <c r="AS135" s="63">
        <f t="shared" si="1"/>
        <v>163</v>
      </c>
      <c r="AT135" s="63">
        <f t="shared" si="2"/>
        <v>101</v>
      </c>
      <c r="AU135" s="63">
        <f t="shared" si="3"/>
        <v>62</v>
      </c>
      <c r="AV135" s="63">
        <f t="shared" si="4"/>
        <v>62</v>
      </c>
      <c r="AW135" s="63">
        <f t="shared" si="5"/>
        <v>0</v>
      </c>
      <c r="AX135" s="67">
        <f t="shared" si="6"/>
        <v>0</v>
      </c>
      <c r="AY135" s="63">
        <v>104008.0</v>
      </c>
    </row>
    <row r="136" ht="15.75" customHeight="1">
      <c r="A136" s="63" t="s">
        <v>1042</v>
      </c>
      <c r="B136" s="63" t="s">
        <v>1043</v>
      </c>
      <c r="C136" s="63" t="s">
        <v>1044</v>
      </c>
      <c r="D136" s="63">
        <v>80908.0</v>
      </c>
      <c r="E136" s="63" t="s">
        <v>243</v>
      </c>
      <c r="W136" s="64"/>
      <c r="AS136" s="63">
        <f t="shared" si="1"/>
        <v>0</v>
      </c>
      <c r="AT136" s="63">
        <f t="shared" si="2"/>
        <v>0</v>
      </c>
      <c r="AU136" s="63">
        <f t="shared" si="3"/>
        <v>0</v>
      </c>
      <c r="AV136" s="63">
        <f t="shared" si="4"/>
        <v>0</v>
      </c>
      <c r="AW136" s="63">
        <f t="shared" si="5"/>
        <v>0</v>
      </c>
      <c r="AX136" s="67">
        <f t="shared" si="6"/>
        <v>0</v>
      </c>
      <c r="AY136" s="63">
        <v>104008.0</v>
      </c>
    </row>
    <row r="137" ht="15.75" customHeight="1">
      <c r="A137" s="63" t="s">
        <v>883</v>
      </c>
      <c r="B137" s="63" t="s">
        <v>884</v>
      </c>
      <c r="C137" s="63" t="s">
        <v>885</v>
      </c>
      <c r="D137" s="63">
        <v>80621.0</v>
      </c>
      <c r="E137" s="63" t="s">
        <v>258</v>
      </c>
      <c r="G137" s="63">
        <v>25.0</v>
      </c>
      <c r="K137" s="63">
        <v>15.0</v>
      </c>
      <c r="L137" s="63">
        <v>515.0</v>
      </c>
      <c r="N137" s="63">
        <v>540.0</v>
      </c>
      <c r="W137" s="64"/>
      <c r="X137" s="63">
        <v>15.0</v>
      </c>
      <c r="Z137" s="63">
        <v>8.0</v>
      </c>
      <c r="AD137" s="63">
        <v>25.0</v>
      </c>
      <c r="AE137" s="63">
        <v>330.0</v>
      </c>
      <c r="AG137" s="63">
        <v>357.0</v>
      </c>
      <c r="AL137" s="63">
        <v>6.0</v>
      </c>
      <c r="AR137" s="63">
        <v>21.0</v>
      </c>
      <c r="AS137" s="63">
        <f t="shared" si="1"/>
        <v>918</v>
      </c>
      <c r="AT137" s="63">
        <f t="shared" si="2"/>
        <v>903</v>
      </c>
      <c r="AU137" s="63">
        <f t="shared" si="3"/>
        <v>15</v>
      </c>
      <c r="AV137" s="63">
        <f t="shared" si="4"/>
        <v>15</v>
      </c>
      <c r="AW137" s="63">
        <f t="shared" si="5"/>
        <v>0</v>
      </c>
      <c r="AX137" s="67">
        <f t="shared" si="6"/>
        <v>0</v>
      </c>
      <c r="AY137" s="63">
        <v>104008.0</v>
      </c>
    </row>
    <row r="138" ht="15.75" customHeight="1">
      <c r="A138" s="63" t="s">
        <v>750</v>
      </c>
      <c r="B138" s="63" t="s">
        <v>751</v>
      </c>
      <c r="C138" s="63" t="s">
        <v>752</v>
      </c>
      <c r="D138" s="63">
        <v>80204.0</v>
      </c>
      <c r="E138" s="63" t="s">
        <v>421</v>
      </c>
      <c r="W138" s="64"/>
      <c r="AS138" s="63">
        <f t="shared" si="1"/>
        <v>0</v>
      </c>
      <c r="AT138" s="63">
        <f t="shared" si="2"/>
        <v>0</v>
      </c>
      <c r="AU138" s="63">
        <f t="shared" si="3"/>
        <v>0</v>
      </c>
      <c r="AV138" s="63">
        <f t="shared" si="4"/>
        <v>0</v>
      </c>
      <c r="AW138" s="63">
        <f t="shared" si="5"/>
        <v>0</v>
      </c>
      <c r="AX138" s="67">
        <f t="shared" si="6"/>
        <v>0</v>
      </c>
      <c r="AY138" s="63">
        <v>104008.0</v>
      </c>
    </row>
    <row r="139" ht="15.75" customHeight="1">
      <c r="A139" s="63" t="s">
        <v>835</v>
      </c>
      <c r="B139" s="63" t="s">
        <v>836</v>
      </c>
      <c r="C139" s="63" t="s">
        <v>837</v>
      </c>
      <c r="D139" s="63">
        <v>81647.0</v>
      </c>
      <c r="E139" s="63" t="s">
        <v>425</v>
      </c>
      <c r="F139" s="63">
        <v>3.0</v>
      </c>
      <c r="K139" s="63">
        <v>21.0</v>
      </c>
      <c r="L139" s="63">
        <v>7.0</v>
      </c>
      <c r="N139" s="63">
        <v>29.0</v>
      </c>
      <c r="W139" s="64">
        <v>2.0</v>
      </c>
      <c r="AD139" s="63">
        <v>6.0</v>
      </c>
      <c r="AE139" s="63">
        <v>35.0</v>
      </c>
      <c r="AG139" s="63">
        <v>40.0</v>
      </c>
      <c r="AP139" s="63">
        <v>1.0</v>
      </c>
      <c r="AR139" s="63">
        <v>65.0</v>
      </c>
      <c r="AS139" s="63">
        <f t="shared" si="1"/>
        <v>72</v>
      </c>
      <c r="AT139" s="63">
        <f t="shared" si="2"/>
        <v>69</v>
      </c>
      <c r="AU139" s="63">
        <f t="shared" si="3"/>
        <v>3</v>
      </c>
      <c r="AV139" s="63">
        <f t="shared" si="4"/>
        <v>3</v>
      </c>
      <c r="AW139" s="63">
        <f t="shared" si="5"/>
        <v>0</v>
      </c>
      <c r="AX139" s="67">
        <f t="shared" si="6"/>
        <v>0</v>
      </c>
      <c r="AY139" s="63">
        <v>104008.0</v>
      </c>
    </row>
    <row r="140" ht="15.75" customHeight="1">
      <c r="A140" s="63" t="s">
        <v>747</v>
      </c>
      <c r="B140" s="63" t="s">
        <v>748</v>
      </c>
      <c r="C140" s="63" t="s">
        <v>749</v>
      </c>
      <c r="D140" s="63">
        <v>80864.0</v>
      </c>
      <c r="E140" s="63" t="s">
        <v>243</v>
      </c>
      <c r="F140" s="63">
        <v>49.0</v>
      </c>
      <c r="I140" s="63">
        <v>15.0</v>
      </c>
      <c r="K140" s="63">
        <v>3.0</v>
      </c>
      <c r="L140" s="63">
        <v>2.0</v>
      </c>
      <c r="M140" s="63">
        <v>1.0</v>
      </c>
      <c r="N140" s="63">
        <v>7.0</v>
      </c>
      <c r="S140" s="63">
        <v>1.0</v>
      </c>
      <c r="U140" s="63">
        <v>2.0</v>
      </c>
      <c r="W140" s="64">
        <v>60.0</v>
      </c>
      <c r="AS140" s="63">
        <f t="shared" si="1"/>
        <v>70</v>
      </c>
      <c r="AT140" s="63">
        <f t="shared" si="2"/>
        <v>10</v>
      </c>
      <c r="AU140" s="63">
        <f t="shared" si="3"/>
        <v>60</v>
      </c>
      <c r="AV140" s="63">
        <f t="shared" si="4"/>
        <v>60</v>
      </c>
      <c r="AW140" s="63">
        <f t="shared" si="5"/>
        <v>0</v>
      </c>
      <c r="AX140" s="67">
        <f t="shared" si="6"/>
        <v>0</v>
      </c>
      <c r="AY140" s="63">
        <v>104008.0</v>
      </c>
    </row>
    <row r="141" ht="15.75" customHeight="1">
      <c r="A141" s="63" t="s">
        <v>952</v>
      </c>
      <c r="B141" s="63" t="s">
        <v>953</v>
      </c>
      <c r="C141" s="63" t="s">
        <v>954</v>
      </c>
      <c r="D141" s="63">
        <v>81413.0</v>
      </c>
      <c r="E141" s="63" t="s">
        <v>323</v>
      </c>
      <c r="F141" s="63">
        <v>7.0</v>
      </c>
      <c r="H141" s="63">
        <v>85.0</v>
      </c>
      <c r="I141" s="63">
        <v>40.0</v>
      </c>
      <c r="K141" s="63">
        <v>9.0</v>
      </c>
      <c r="N141" s="63">
        <v>72.0</v>
      </c>
      <c r="O141" s="63">
        <v>60.0</v>
      </c>
      <c r="P141" s="63">
        <v>3.0</v>
      </c>
      <c r="W141" s="64">
        <v>6.0</v>
      </c>
      <c r="AA141" s="63">
        <v>3.0</v>
      </c>
      <c r="AB141" s="63">
        <v>6.0</v>
      </c>
      <c r="AG141" s="63">
        <v>7.0</v>
      </c>
      <c r="AH141" s="63">
        <v>2.0</v>
      </c>
      <c r="AR141" s="63">
        <v>2.1</v>
      </c>
      <c r="AS141" s="63">
        <f t="shared" si="1"/>
        <v>150</v>
      </c>
      <c r="AT141" s="63">
        <f t="shared" si="2"/>
        <v>144</v>
      </c>
      <c r="AU141" s="63">
        <f t="shared" si="3"/>
        <v>6</v>
      </c>
      <c r="AV141" s="63">
        <f t="shared" si="4"/>
        <v>6</v>
      </c>
      <c r="AW141" s="63">
        <f t="shared" si="5"/>
        <v>0</v>
      </c>
      <c r="AX141" s="67">
        <f t="shared" si="6"/>
        <v>0</v>
      </c>
      <c r="AY141" s="63">
        <v>104008.0</v>
      </c>
    </row>
    <row r="142" ht="15.75" customHeight="1">
      <c r="A142" s="63" t="s">
        <v>585</v>
      </c>
      <c r="B142" s="63" t="s">
        <v>586</v>
      </c>
      <c r="C142" s="63" t="s">
        <v>587</v>
      </c>
      <c r="D142" s="63">
        <v>80223.0</v>
      </c>
      <c r="E142" s="63" t="s">
        <v>421</v>
      </c>
      <c r="F142" s="63">
        <v>22.0</v>
      </c>
      <c r="G142" s="63">
        <v>22.0</v>
      </c>
      <c r="I142" s="63">
        <v>42.0</v>
      </c>
      <c r="K142" s="63">
        <v>29.0</v>
      </c>
      <c r="L142" s="63">
        <v>26.0</v>
      </c>
      <c r="N142" s="63">
        <v>89.0</v>
      </c>
      <c r="O142" s="63">
        <v>4.0</v>
      </c>
      <c r="P142" s="63">
        <v>3.0</v>
      </c>
      <c r="U142" s="63">
        <v>1.0</v>
      </c>
      <c r="W142" s="64">
        <v>23.0</v>
      </c>
      <c r="X142" s="63">
        <v>23.0</v>
      </c>
      <c r="Y142" s="63">
        <v>1.0</v>
      </c>
      <c r="Z142" s="63">
        <v>1.0</v>
      </c>
      <c r="AB142" s="63">
        <v>4.0</v>
      </c>
      <c r="AE142" s="63">
        <v>4.0</v>
      </c>
      <c r="AG142" s="63">
        <v>8.0</v>
      </c>
      <c r="AR142" s="63">
        <v>14.0</v>
      </c>
      <c r="AS142" s="63">
        <f t="shared" si="1"/>
        <v>151</v>
      </c>
      <c r="AT142" s="63">
        <f t="shared" si="2"/>
        <v>105</v>
      </c>
      <c r="AU142" s="63">
        <f t="shared" si="3"/>
        <v>46</v>
      </c>
      <c r="AV142" s="63">
        <f t="shared" si="4"/>
        <v>46</v>
      </c>
      <c r="AW142" s="63">
        <f t="shared" si="5"/>
        <v>0</v>
      </c>
      <c r="AX142" s="67">
        <f t="shared" si="6"/>
        <v>0</v>
      </c>
      <c r="AY142" s="63">
        <v>104008.0</v>
      </c>
    </row>
    <row r="143" ht="15.75" customHeight="1">
      <c r="A143" s="63" t="s">
        <v>334</v>
      </c>
      <c r="B143" s="63" t="s">
        <v>335</v>
      </c>
      <c r="C143" s="63" t="s">
        <v>336</v>
      </c>
      <c r="D143" s="63">
        <v>80615.0</v>
      </c>
      <c r="E143" s="63" t="s">
        <v>258</v>
      </c>
      <c r="I143" s="63">
        <v>4.0</v>
      </c>
      <c r="K143" s="63">
        <v>4.0</v>
      </c>
      <c r="L143" s="63">
        <v>12.0</v>
      </c>
      <c r="M143" s="63">
        <v>1.0</v>
      </c>
      <c r="N143" s="63">
        <v>18.0</v>
      </c>
      <c r="W143" s="64"/>
      <c r="X143" s="63">
        <v>3.0</v>
      </c>
      <c r="AS143" s="63">
        <f t="shared" si="1"/>
        <v>21</v>
      </c>
      <c r="AT143" s="63">
        <f t="shared" si="2"/>
        <v>18</v>
      </c>
      <c r="AU143" s="63">
        <f t="shared" si="3"/>
        <v>3</v>
      </c>
      <c r="AV143" s="63">
        <f t="shared" si="4"/>
        <v>3</v>
      </c>
      <c r="AW143" s="63">
        <f t="shared" si="5"/>
        <v>0</v>
      </c>
      <c r="AX143" s="67">
        <f t="shared" si="6"/>
        <v>0</v>
      </c>
      <c r="AY143" s="63">
        <v>104008.0</v>
      </c>
    </row>
    <row r="144" ht="15.75" customHeight="1">
      <c r="A144" s="63" t="s">
        <v>262</v>
      </c>
      <c r="B144" s="63" t="s">
        <v>263</v>
      </c>
      <c r="C144" s="63" t="s">
        <v>264</v>
      </c>
      <c r="D144" s="63">
        <v>80031.0</v>
      </c>
      <c r="E144" s="63" t="s">
        <v>239</v>
      </c>
      <c r="W144" s="64"/>
      <c r="AS144" s="63">
        <f t="shared" si="1"/>
        <v>0</v>
      </c>
      <c r="AT144" s="63">
        <f t="shared" si="2"/>
        <v>0</v>
      </c>
      <c r="AU144" s="63">
        <f t="shared" si="3"/>
        <v>0</v>
      </c>
      <c r="AV144" s="63">
        <f t="shared" si="4"/>
        <v>0</v>
      </c>
      <c r="AW144" s="63">
        <f t="shared" si="5"/>
        <v>0</v>
      </c>
      <c r="AX144" s="67">
        <f t="shared" si="6"/>
        <v>0</v>
      </c>
      <c r="AY144" s="63">
        <v>104008.0</v>
      </c>
    </row>
    <row r="145" ht="15.75" customHeight="1">
      <c r="A145" s="63" t="s">
        <v>460</v>
      </c>
      <c r="B145" s="63" t="s">
        <v>461</v>
      </c>
      <c r="C145" s="63" t="s">
        <v>462</v>
      </c>
      <c r="D145" s="63">
        <v>80537.0</v>
      </c>
      <c r="E145" s="63" t="s">
        <v>275</v>
      </c>
      <c r="G145" s="63">
        <v>25.0</v>
      </c>
      <c r="I145" s="63">
        <v>18.0</v>
      </c>
      <c r="K145" s="63">
        <v>13.0</v>
      </c>
      <c r="L145" s="63">
        <v>13.0</v>
      </c>
      <c r="M145" s="63">
        <v>11.0</v>
      </c>
      <c r="N145" s="63">
        <v>40.0</v>
      </c>
      <c r="S145" s="63">
        <v>11.0</v>
      </c>
      <c r="W145" s="64"/>
      <c r="X145" s="63">
        <v>29.0</v>
      </c>
      <c r="AS145" s="63">
        <f t="shared" si="1"/>
        <v>80</v>
      </c>
      <c r="AT145" s="63">
        <f t="shared" si="2"/>
        <v>51</v>
      </c>
      <c r="AU145" s="63">
        <f t="shared" si="3"/>
        <v>29</v>
      </c>
      <c r="AV145" s="63">
        <f t="shared" si="4"/>
        <v>29</v>
      </c>
      <c r="AW145" s="63">
        <f t="shared" si="5"/>
        <v>0</v>
      </c>
      <c r="AX145" s="67">
        <f t="shared" si="6"/>
        <v>0</v>
      </c>
      <c r="AY145" s="63">
        <v>104008.0</v>
      </c>
    </row>
    <row r="146" ht="15.75" customHeight="1">
      <c r="A146" s="63" t="s">
        <v>625</v>
      </c>
      <c r="B146" s="63" t="s">
        <v>626</v>
      </c>
      <c r="C146" s="63" t="s">
        <v>627</v>
      </c>
      <c r="D146" s="63">
        <v>80904.0</v>
      </c>
      <c r="E146" s="63" t="s">
        <v>243</v>
      </c>
      <c r="W146" s="64"/>
      <c r="AS146" s="63">
        <f t="shared" si="1"/>
        <v>0</v>
      </c>
      <c r="AT146" s="63">
        <f t="shared" si="2"/>
        <v>0</v>
      </c>
      <c r="AU146" s="63">
        <f t="shared" si="3"/>
        <v>0</v>
      </c>
      <c r="AV146" s="63">
        <f t="shared" si="4"/>
        <v>0</v>
      </c>
      <c r="AW146" s="63">
        <f t="shared" si="5"/>
        <v>0</v>
      </c>
      <c r="AX146" s="67">
        <f t="shared" si="6"/>
        <v>0</v>
      </c>
      <c r="AY146" s="63">
        <v>104008.0</v>
      </c>
    </row>
    <row r="147" ht="15.75" customHeight="1">
      <c r="A147" s="63" t="s">
        <v>927</v>
      </c>
      <c r="B147" s="63" t="s">
        <v>928</v>
      </c>
      <c r="C147" s="63" t="s">
        <v>929</v>
      </c>
      <c r="D147" s="63">
        <v>81432.0</v>
      </c>
      <c r="E147" s="63" t="s">
        <v>930</v>
      </c>
      <c r="F147" s="63">
        <v>17.0</v>
      </c>
      <c r="H147" s="63">
        <v>87.0</v>
      </c>
      <c r="I147" s="63">
        <v>35.0</v>
      </c>
      <c r="K147" s="63">
        <v>48.0</v>
      </c>
      <c r="L147" s="63">
        <v>25.0</v>
      </c>
      <c r="M147" s="63">
        <v>2.0</v>
      </c>
      <c r="N147" s="63">
        <v>142.0</v>
      </c>
      <c r="O147" s="63">
        <v>55.0</v>
      </c>
      <c r="P147" s="63">
        <v>3.0</v>
      </c>
      <c r="S147" s="63">
        <v>2.0</v>
      </c>
      <c r="U147" s="63">
        <v>3.0</v>
      </c>
      <c r="W147" s="64">
        <v>9.0</v>
      </c>
      <c r="Y147" s="63">
        <v>1.0</v>
      </c>
      <c r="AA147" s="63">
        <v>8.0</v>
      </c>
      <c r="AB147" s="63">
        <v>6.0</v>
      </c>
      <c r="AD147" s="63">
        <v>35.0</v>
      </c>
      <c r="AE147" s="63">
        <v>3.0</v>
      </c>
      <c r="AG147" s="63">
        <v>49.0</v>
      </c>
      <c r="AI147" s="63">
        <v>1.0</v>
      </c>
      <c r="AL147" s="63">
        <v>1.0</v>
      </c>
      <c r="AP147" s="63">
        <v>2.0</v>
      </c>
      <c r="AS147" s="63">
        <f t="shared" si="1"/>
        <v>267</v>
      </c>
      <c r="AT147" s="63">
        <f t="shared" si="2"/>
        <v>256</v>
      </c>
      <c r="AU147" s="63">
        <f t="shared" si="3"/>
        <v>11</v>
      </c>
      <c r="AV147" s="63">
        <f t="shared" si="4"/>
        <v>11</v>
      </c>
      <c r="AW147" s="63">
        <f t="shared" si="5"/>
        <v>0</v>
      </c>
      <c r="AX147" s="67">
        <f t="shared" si="6"/>
        <v>0</v>
      </c>
      <c r="AY147" s="63">
        <v>104008.0</v>
      </c>
    </row>
    <row r="148" ht="15.75" customHeight="1">
      <c r="A148" s="63" t="s">
        <v>360</v>
      </c>
      <c r="B148" s="63" t="s">
        <v>361</v>
      </c>
      <c r="C148" s="63" t="s">
        <v>362</v>
      </c>
      <c r="D148" s="63">
        <v>80018.0</v>
      </c>
      <c r="E148" s="63" t="s">
        <v>350</v>
      </c>
      <c r="F148" s="63">
        <v>38.0</v>
      </c>
      <c r="H148" s="63">
        <v>14.0</v>
      </c>
      <c r="I148" s="63">
        <v>37.0</v>
      </c>
      <c r="K148" s="63">
        <v>13.0</v>
      </c>
      <c r="L148" s="63">
        <v>33.0</v>
      </c>
      <c r="M148" s="63">
        <v>147.0</v>
      </c>
      <c r="N148" s="63">
        <v>204.0</v>
      </c>
      <c r="O148" s="63">
        <v>32.0</v>
      </c>
      <c r="S148" s="63">
        <v>3.0</v>
      </c>
      <c r="W148" s="64">
        <v>43.0</v>
      </c>
      <c r="Y148" s="63">
        <v>4.0</v>
      </c>
      <c r="AD148" s="63">
        <v>4.0</v>
      </c>
      <c r="AE148" s="63">
        <v>4.0</v>
      </c>
      <c r="AF148" s="63">
        <v>85.0</v>
      </c>
      <c r="AG148" s="63">
        <v>97.0</v>
      </c>
      <c r="AR148" s="63">
        <v>70.0</v>
      </c>
      <c r="AS148" s="63">
        <f t="shared" si="1"/>
        <v>379</v>
      </c>
      <c r="AT148" s="63">
        <f t="shared" si="2"/>
        <v>336</v>
      </c>
      <c r="AU148" s="63">
        <f t="shared" si="3"/>
        <v>43</v>
      </c>
      <c r="AV148" s="63">
        <f t="shared" si="4"/>
        <v>43</v>
      </c>
      <c r="AW148" s="63">
        <f t="shared" si="5"/>
        <v>0</v>
      </c>
      <c r="AX148" s="67">
        <f t="shared" si="6"/>
        <v>0</v>
      </c>
      <c r="AY148" s="63">
        <v>104008.0</v>
      </c>
    </row>
    <row r="149" ht="15.75" customHeight="1">
      <c r="A149" s="63" t="s">
        <v>786</v>
      </c>
      <c r="B149" s="63" t="s">
        <v>787</v>
      </c>
      <c r="C149" s="63" t="s">
        <v>788</v>
      </c>
      <c r="D149" s="63">
        <v>80612.0</v>
      </c>
      <c r="E149" s="63" t="s">
        <v>258</v>
      </c>
      <c r="G149" s="63">
        <v>17.0</v>
      </c>
      <c r="I149" s="63">
        <v>6.0</v>
      </c>
      <c r="K149" s="63">
        <v>1.0</v>
      </c>
      <c r="L149" s="63">
        <v>80.0</v>
      </c>
      <c r="N149" s="63">
        <v>96.0</v>
      </c>
      <c r="S149" s="63">
        <v>2.0</v>
      </c>
      <c r="W149" s="64"/>
      <c r="X149" s="63">
        <v>6.0</v>
      </c>
      <c r="Z149" s="63">
        <v>9.0</v>
      </c>
      <c r="AB149" s="63">
        <v>1.0</v>
      </c>
      <c r="AD149" s="63">
        <v>4.0</v>
      </c>
      <c r="AE149" s="63">
        <v>55.0</v>
      </c>
      <c r="AG149" s="63">
        <v>63.0</v>
      </c>
      <c r="AL149" s="63">
        <v>1.0</v>
      </c>
      <c r="AQ149" s="63">
        <v>5.0</v>
      </c>
      <c r="AR149" s="63">
        <v>32.0</v>
      </c>
      <c r="AS149" s="63">
        <f t="shared" si="1"/>
        <v>173</v>
      </c>
      <c r="AT149" s="63">
        <f t="shared" si="2"/>
        <v>162</v>
      </c>
      <c r="AU149" s="63">
        <f t="shared" si="3"/>
        <v>11</v>
      </c>
      <c r="AV149" s="63">
        <f t="shared" si="4"/>
        <v>11</v>
      </c>
      <c r="AW149" s="63">
        <f t="shared" si="5"/>
        <v>0</v>
      </c>
      <c r="AX149" s="67">
        <f t="shared" si="6"/>
        <v>0</v>
      </c>
      <c r="AY149" s="63">
        <v>104008.0</v>
      </c>
    </row>
    <row r="150" ht="15.75" customHeight="1">
      <c r="A150" s="63" t="s">
        <v>524</v>
      </c>
      <c r="B150" s="63" t="s">
        <v>525</v>
      </c>
      <c r="C150" s="63" t="s">
        <v>526</v>
      </c>
      <c r="D150" s="63">
        <v>80525.0</v>
      </c>
      <c r="E150" s="63" t="s">
        <v>275</v>
      </c>
      <c r="F150" s="63">
        <v>20.0</v>
      </c>
      <c r="S150" s="63">
        <v>6.0</v>
      </c>
      <c r="W150" s="64">
        <v>14.0</v>
      </c>
      <c r="AS150" s="63">
        <f t="shared" si="1"/>
        <v>20</v>
      </c>
      <c r="AT150" s="63">
        <f t="shared" si="2"/>
        <v>6</v>
      </c>
      <c r="AU150" s="63">
        <f t="shared" si="3"/>
        <v>14</v>
      </c>
      <c r="AV150" s="63">
        <f t="shared" si="4"/>
        <v>14</v>
      </c>
      <c r="AW150" s="63">
        <f t="shared" si="5"/>
        <v>0</v>
      </c>
      <c r="AX150" s="67">
        <f t="shared" si="6"/>
        <v>0</v>
      </c>
      <c r="AY150" s="63">
        <v>104008.0</v>
      </c>
    </row>
    <row r="151" ht="15.75" customHeight="1">
      <c r="A151" s="63" t="s">
        <v>499</v>
      </c>
      <c r="B151" s="63" t="s">
        <v>500</v>
      </c>
      <c r="C151" s="63" t="s">
        <v>501</v>
      </c>
      <c r="D151" s="63">
        <v>81416.0</v>
      </c>
      <c r="E151" s="63" t="s">
        <v>323</v>
      </c>
      <c r="F151" s="63">
        <v>11.0</v>
      </c>
      <c r="G151" s="63">
        <v>1.0</v>
      </c>
      <c r="H151" s="63">
        <v>68.0</v>
      </c>
      <c r="I151" s="63">
        <v>18.0</v>
      </c>
      <c r="M151" s="63">
        <v>6.0</v>
      </c>
      <c r="N151" s="63">
        <v>87.0</v>
      </c>
      <c r="O151" s="63">
        <v>6.0</v>
      </c>
      <c r="S151" s="63">
        <v>1.0</v>
      </c>
      <c r="U151" s="63">
        <v>2.0</v>
      </c>
      <c r="W151" s="64">
        <v>7.0</v>
      </c>
      <c r="X151" s="63">
        <v>1.0</v>
      </c>
      <c r="Y151" s="63">
        <v>1.0</v>
      </c>
      <c r="Z151" s="63">
        <v>13.0</v>
      </c>
      <c r="AA151" s="63">
        <v>22.0</v>
      </c>
      <c r="AB151" s="63">
        <v>1.0</v>
      </c>
      <c r="AG151" s="63">
        <v>17.0</v>
      </c>
      <c r="AH151" s="63">
        <v>3.0</v>
      </c>
      <c r="AL151" s="63">
        <v>3.0</v>
      </c>
      <c r="AM151" s="63">
        <v>1.0</v>
      </c>
      <c r="AP151" s="63">
        <v>3.0</v>
      </c>
      <c r="AQ151" s="63">
        <v>10.0</v>
      </c>
      <c r="AR151" s="63">
        <v>120.0</v>
      </c>
      <c r="AS151" s="63">
        <f t="shared" si="1"/>
        <v>141</v>
      </c>
      <c r="AT151" s="63">
        <f t="shared" si="2"/>
        <v>120</v>
      </c>
      <c r="AU151" s="63">
        <f t="shared" si="3"/>
        <v>21</v>
      </c>
      <c r="AV151" s="63">
        <f t="shared" si="4"/>
        <v>21</v>
      </c>
      <c r="AW151" s="63">
        <f t="shared" si="5"/>
        <v>0</v>
      </c>
      <c r="AX151" s="67">
        <f t="shared" si="6"/>
        <v>0</v>
      </c>
      <c r="AY151" s="63">
        <v>104008.0</v>
      </c>
    </row>
    <row r="152" ht="15.75" customHeight="1">
      <c r="A152" s="63" t="s">
        <v>918</v>
      </c>
      <c r="B152" s="63" t="s">
        <v>919</v>
      </c>
      <c r="C152" s="63" t="s">
        <v>920</v>
      </c>
      <c r="D152" s="63">
        <v>80205.0</v>
      </c>
      <c r="E152" s="63" t="s">
        <v>421</v>
      </c>
      <c r="G152" s="63">
        <v>9.0</v>
      </c>
      <c r="I152" s="63">
        <v>23.0</v>
      </c>
      <c r="K152" s="63">
        <v>4.0</v>
      </c>
      <c r="L152" s="63">
        <v>36.0</v>
      </c>
      <c r="N152" s="63">
        <v>44.0</v>
      </c>
      <c r="O152" s="63">
        <v>1.0</v>
      </c>
      <c r="P152" s="63">
        <v>3.0</v>
      </c>
      <c r="Q152" s="63">
        <v>3.0</v>
      </c>
      <c r="U152" s="63">
        <v>3.0</v>
      </c>
      <c r="W152" s="64"/>
      <c r="X152" s="63">
        <v>18.0</v>
      </c>
      <c r="Z152" s="63">
        <v>1.0</v>
      </c>
      <c r="AB152" s="63">
        <v>10.0</v>
      </c>
      <c r="AE152" s="63">
        <v>4.0</v>
      </c>
      <c r="AG152" s="63">
        <v>6.0</v>
      </c>
      <c r="AQ152" s="63">
        <v>9.0</v>
      </c>
      <c r="AR152" s="63">
        <v>59.0</v>
      </c>
      <c r="AS152" s="63">
        <f t="shared" si="1"/>
        <v>87</v>
      </c>
      <c r="AT152" s="63">
        <f t="shared" si="2"/>
        <v>60</v>
      </c>
      <c r="AU152" s="63">
        <f t="shared" si="3"/>
        <v>27</v>
      </c>
      <c r="AV152" s="63">
        <f t="shared" si="4"/>
        <v>27</v>
      </c>
      <c r="AW152" s="63">
        <f t="shared" si="5"/>
        <v>0</v>
      </c>
      <c r="AX152" s="67">
        <f t="shared" si="6"/>
        <v>0</v>
      </c>
      <c r="AY152" s="63">
        <v>104008.0</v>
      </c>
    </row>
    <row r="153" ht="15.75" customHeight="1">
      <c r="A153" s="63" t="s">
        <v>980</v>
      </c>
      <c r="B153" s="63" t="s">
        <v>981</v>
      </c>
      <c r="C153" s="63" t="s">
        <v>982</v>
      </c>
      <c r="D153" s="63">
        <v>81224.0</v>
      </c>
      <c r="E153" s="63" t="s">
        <v>384</v>
      </c>
      <c r="H153" s="63">
        <v>8.0</v>
      </c>
      <c r="O153" s="63">
        <v>8.0</v>
      </c>
      <c r="W153" s="64"/>
      <c r="AS153" s="63">
        <f t="shared" si="1"/>
        <v>8</v>
      </c>
      <c r="AT153" s="63">
        <f t="shared" si="2"/>
        <v>8</v>
      </c>
      <c r="AU153" s="63">
        <f t="shared" si="3"/>
        <v>0</v>
      </c>
      <c r="AV153" s="63">
        <f t="shared" si="4"/>
        <v>0</v>
      </c>
      <c r="AW153" s="63">
        <f t="shared" si="5"/>
        <v>0</v>
      </c>
      <c r="AX153" s="67">
        <f t="shared" si="6"/>
        <v>0</v>
      </c>
      <c r="AY153" s="63">
        <v>104008.0</v>
      </c>
    </row>
    <row r="154" ht="15.75" customHeight="1">
      <c r="A154" s="63" t="s">
        <v>247</v>
      </c>
      <c r="B154" s="63" t="s">
        <v>248</v>
      </c>
      <c r="C154" s="63" t="s">
        <v>249</v>
      </c>
      <c r="D154" s="63">
        <v>80601.0</v>
      </c>
      <c r="E154" s="63" t="s">
        <v>250</v>
      </c>
      <c r="F154" s="63">
        <v>108.0</v>
      </c>
      <c r="G154" s="63">
        <v>10.0</v>
      </c>
      <c r="H154" s="63">
        <v>2111.0</v>
      </c>
      <c r="I154" s="63">
        <v>488.0</v>
      </c>
      <c r="J154" s="63">
        <v>143.0</v>
      </c>
      <c r="K154" s="63">
        <v>46.0</v>
      </c>
      <c r="M154" s="63">
        <v>335.0</v>
      </c>
      <c r="N154" s="63">
        <v>991.0</v>
      </c>
      <c r="O154" s="63">
        <v>1304.0</v>
      </c>
      <c r="P154" s="63">
        <v>448.0</v>
      </c>
      <c r="S154" s="63">
        <v>12.0</v>
      </c>
      <c r="T154" s="63">
        <v>2.0</v>
      </c>
      <c r="U154" s="63">
        <v>276.0</v>
      </c>
      <c r="V154" s="63">
        <v>143.0</v>
      </c>
      <c r="W154" s="64">
        <v>59.0</v>
      </c>
      <c r="X154" s="63">
        <v>6.0</v>
      </c>
      <c r="Y154" s="63">
        <v>1.0</v>
      </c>
      <c r="Z154" s="63">
        <v>4.0</v>
      </c>
      <c r="AA154" s="63">
        <v>76.0</v>
      </c>
      <c r="AB154" s="63">
        <v>18.0</v>
      </c>
      <c r="AC154" s="63">
        <v>1.0</v>
      </c>
      <c r="AF154" s="63">
        <v>25.0</v>
      </c>
      <c r="AG154" s="63">
        <v>68.0</v>
      </c>
      <c r="AH154" s="63">
        <v>30.0</v>
      </c>
      <c r="AI154" s="63">
        <v>9.0</v>
      </c>
      <c r="AL154" s="63">
        <v>6.0</v>
      </c>
      <c r="AN154" s="63">
        <v>3.0</v>
      </c>
      <c r="AO154" s="63">
        <v>1.0</v>
      </c>
      <c r="AP154" s="63">
        <v>2.0</v>
      </c>
      <c r="AQ154" s="63">
        <v>6.0</v>
      </c>
      <c r="AR154" s="63">
        <v>5.75</v>
      </c>
      <c r="AS154" s="63">
        <f t="shared" si="1"/>
        <v>3366</v>
      </c>
      <c r="AT154" s="63">
        <f t="shared" si="2"/>
        <v>3293</v>
      </c>
      <c r="AU154" s="63">
        <f t="shared" si="3"/>
        <v>73</v>
      </c>
      <c r="AV154" s="63">
        <f t="shared" si="4"/>
        <v>73</v>
      </c>
      <c r="AW154" s="63">
        <f t="shared" si="5"/>
        <v>0</v>
      </c>
      <c r="AX154" s="67">
        <f t="shared" si="6"/>
        <v>0</v>
      </c>
      <c r="AY154" s="63">
        <v>104008.0</v>
      </c>
    </row>
    <row r="155" ht="15.75" customHeight="1">
      <c r="A155" s="63" t="s">
        <v>558</v>
      </c>
      <c r="B155" s="63" t="s">
        <v>559</v>
      </c>
      <c r="C155" s="63" t="s">
        <v>560</v>
      </c>
      <c r="D155" s="63">
        <v>80302.0</v>
      </c>
      <c r="E155" s="63" t="s">
        <v>279</v>
      </c>
      <c r="I155" s="63">
        <v>12.0</v>
      </c>
      <c r="K155" s="63">
        <v>1.0</v>
      </c>
      <c r="L155" s="63">
        <v>252.0</v>
      </c>
      <c r="N155" s="63">
        <v>263.0</v>
      </c>
      <c r="W155" s="64"/>
      <c r="X155" s="63">
        <v>2.0</v>
      </c>
      <c r="AE155" s="63">
        <v>36.0</v>
      </c>
      <c r="AG155" s="63">
        <v>36.0</v>
      </c>
      <c r="AR155" s="63">
        <v>2.2</v>
      </c>
      <c r="AS155" s="63">
        <f t="shared" si="1"/>
        <v>301</v>
      </c>
      <c r="AT155" s="63">
        <f t="shared" si="2"/>
        <v>299</v>
      </c>
      <c r="AU155" s="63">
        <f t="shared" si="3"/>
        <v>2</v>
      </c>
      <c r="AV155" s="63">
        <f t="shared" si="4"/>
        <v>2</v>
      </c>
      <c r="AW155" s="63">
        <f t="shared" si="5"/>
        <v>0</v>
      </c>
      <c r="AX155" s="67">
        <f t="shared" si="6"/>
        <v>0</v>
      </c>
      <c r="AY155" s="63">
        <v>104008.0</v>
      </c>
    </row>
    <row r="156" ht="15.75" customHeight="1">
      <c r="A156" s="63" t="s">
        <v>804</v>
      </c>
      <c r="B156" s="63" t="s">
        <v>805</v>
      </c>
      <c r="C156" s="63" t="s">
        <v>806</v>
      </c>
      <c r="D156" s="63">
        <v>80127.0</v>
      </c>
      <c r="E156" s="63" t="s">
        <v>239</v>
      </c>
      <c r="G156" s="63">
        <v>41.0</v>
      </c>
      <c r="H156" s="63">
        <v>2.0</v>
      </c>
      <c r="I156" s="63">
        <v>15.0</v>
      </c>
      <c r="K156" s="63">
        <v>7.0</v>
      </c>
      <c r="L156" s="63">
        <v>231.0</v>
      </c>
      <c r="M156" s="63">
        <v>12.0</v>
      </c>
      <c r="N156" s="63">
        <v>266.0</v>
      </c>
      <c r="O156" s="63">
        <v>1.0</v>
      </c>
      <c r="U156" s="63">
        <v>3.0</v>
      </c>
      <c r="W156" s="64"/>
      <c r="X156" s="63">
        <v>38.0</v>
      </c>
      <c r="AE156" s="63">
        <v>54.0</v>
      </c>
      <c r="AF156" s="63">
        <v>2.0</v>
      </c>
      <c r="AG156" s="63">
        <v>55.0</v>
      </c>
      <c r="AQ156" s="63">
        <v>1.0</v>
      </c>
      <c r="AR156" s="63">
        <v>19.0</v>
      </c>
      <c r="AS156" s="63">
        <f t="shared" si="1"/>
        <v>364</v>
      </c>
      <c r="AT156" s="63">
        <f t="shared" si="2"/>
        <v>325</v>
      </c>
      <c r="AU156" s="63">
        <f t="shared" si="3"/>
        <v>39</v>
      </c>
      <c r="AV156" s="63">
        <f t="shared" si="4"/>
        <v>39</v>
      </c>
      <c r="AW156" s="63">
        <f t="shared" si="5"/>
        <v>0</v>
      </c>
      <c r="AX156" s="67">
        <f t="shared" si="6"/>
        <v>0</v>
      </c>
      <c r="AY156" s="63">
        <v>104008.0</v>
      </c>
    </row>
    <row r="157" ht="15.75" customHeight="1">
      <c r="A157" s="63" t="s">
        <v>759</v>
      </c>
      <c r="B157" s="63" t="s">
        <v>760</v>
      </c>
      <c r="C157" s="63" t="s">
        <v>761</v>
      </c>
      <c r="D157" s="63">
        <v>80134.0</v>
      </c>
      <c r="E157" s="63" t="s">
        <v>235</v>
      </c>
      <c r="W157" s="64"/>
      <c r="AS157" s="63">
        <f t="shared" si="1"/>
        <v>0</v>
      </c>
      <c r="AT157" s="63">
        <f t="shared" si="2"/>
        <v>0</v>
      </c>
      <c r="AU157" s="63">
        <f t="shared" si="3"/>
        <v>0</v>
      </c>
      <c r="AV157" s="63">
        <f t="shared" si="4"/>
        <v>0</v>
      </c>
      <c r="AW157" s="63">
        <f t="shared" si="5"/>
        <v>0</v>
      </c>
      <c r="AX157" s="67">
        <f t="shared" si="6"/>
        <v>0</v>
      </c>
      <c r="AY157" s="63">
        <v>104008.0</v>
      </c>
    </row>
    <row r="158" ht="15.75" customHeight="1">
      <c r="A158" s="63" t="s">
        <v>570</v>
      </c>
      <c r="B158" s="63" t="s">
        <v>571</v>
      </c>
      <c r="C158" s="63" t="s">
        <v>572</v>
      </c>
      <c r="D158" s="63">
        <v>80014.0</v>
      </c>
      <c r="E158" s="63" t="s">
        <v>350</v>
      </c>
      <c r="W158" s="64"/>
      <c r="AS158" s="63">
        <f t="shared" si="1"/>
        <v>0</v>
      </c>
      <c r="AT158" s="63">
        <f t="shared" si="2"/>
        <v>0</v>
      </c>
      <c r="AU158" s="63">
        <f t="shared" si="3"/>
        <v>0</v>
      </c>
      <c r="AV158" s="63">
        <f t="shared" si="4"/>
        <v>0</v>
      </c>
      <c r="AW158" s="63">
        <f t="shared" si="5"/>
        <v>0</v>
      </c>
      <c r="AX158" s="67">
        <f t="shared" si="6"/>
        <v>0</v>
      </c>
      <c r="AY158" s="63">
        <v>104008.0</v>
      </c>
    </row>
    <row r="159" ht="15.75" customHeight="1">
      <c r="A159" s="63" t="s">
        <v>1027</v>
      </c>
      <c r="B159" s="63" t="s">
        <v>1028</v>
      </c>
      <c r="C159" s="63" t="s">
        <v>1029</v>
      </c>
      <c r="D159" s="63">
        <v>81101.0</v>
      </c>
      <c r="E159" s="63" t="s">
        <v>346</v>
      </c>
      <c r="F159" s="63">
        <v>19.0</v>
      </c>
      <c r="H159" s="63">
        <v>198.0</v>
      </c>
      <c r="I159" s="63">
        <v>144.0</v>
      </c>
      <c r="M159" s="63">
        <v>4.0</v>
      </c>
      <c r="N159" s="63">
        <v>78.0</v>
      </c>
      <c r="O159" s="63">
        <v>72.0</v>
      </c>
      <c r="P159" s="63">
        <v>198.0</v>
      </c>
      <c r="U159" s="63">
        <v>7.0</v>
      </c>
      <c r="W159" s="64">
        <v>10.0</v>
      </c>
      <c r="Y159" s="63">
        <v>2.0</v>
      </c>
      <c r="AA159" s="63">
        <v>232.0</v>
      </c>
      <c r="AB159" s="63">
        <v>51.0</v>
      </c>
      <c r="AF159" s="63">
        <v>4.0</v>
      </c>
      <c r="AG159" s="63">
        <v>146.0</v>
      </c>
      <c r="AH159" s="63">
        <v>4.0</v>
      </c>
      <c r="AI159" s="63">
        <v>125.0</v>
      </c>
      <c r="AL159" s="63">
        <v>12.0</v>
      </c>
      <c r="AP159" s="63">
        <v>2.0</v>
      </c>
      <c r="AR159" s="63">
        <v>17.0</v>
      </c>
      <c r="AS159" s="63">
        <f t="shared" si="1"/>
        <v>654</v>
      </c>
      <c r="AT159" s="63">
        <f t="shared" si="2"/>
        <v>642</v>
      </c>
      <c r="AU159" s="63">
        <f t="shared" si="3"/>
        <v>12</v>
      </c>
      <c r="AV159" s="63">
        <f t="shared" si="4"/>
        <v>12</v>
      </c>
      <c r="AW159" s="63">
        <f t="shared" si="5"/>
        <v>0</v>
      </c>
      <c r="AX159" s="67">
        <f t="shared" si="6"/>
        <v>0</v>
      </c>
      <c r="AY159" s="63">
        <v>104008.0</v>
      </c>
    </row>
    <row r="160" ht="15.75" customHeight="1">
      <c r="A160" s="63" t="s">
        <v>251</v>
      </c>
      <c r="B160" s="63" t="s">
        <v>252</v>
      </c>
      <c r="C160" s="63" t="s">
        <v>253</v>
      </c>
      <c r="D160" s="63">
        <v>80863.0</v>
      </c>
      <c r="E160" s="63" t="s">
        <v>254</v>
      </c>
      <c r="I160" s="63">
        <v>150.0</v>
      </c>
      <c r="M160" s="63">
        <v>50.0</v>
      </c>
      <c r="N160" s="63">
        <v>200.0</v>
      </c>
      <c r="W160" s="64"/>
      <c r="AS160" s="63">
        <f t="shared" si="1"/>
        <v>200</v>
      </c>
      <c r="AT160" s="63">
        <f t="shared" si="2"/>
        <v>200</v>
      </c>
      <c r="AU160" s="63">
        <f t="shared" si="3"/>
        <v>0</v>
      </c>
      <c r="AV160" s="63">
        <f t="shared" si="4"/>
        <v>0</v>
      </c>
      <c r="AW160" s="63">
        <f t="shared" si="5"/>
        <v>0</v>
      </c>
      <c r="AX160" s="67">
        <f t="shared" si="6"/>
        <v>0</v>
      </c>
      <c r="AY160" s="63">
        <v>104008.0</v>
      </c>
    </row>
    <row r="161" ht="15.75" customHeight="1">
      <c r="A161" s="63" t="s">
        <v>619</v>
      </c>
      <c r="B161" s="63" t="s">
        <v>620</v>
      </c>
      <c r="C161" s="63" t="s">
        <v>621</v>
      </c>
      <c r="D161" s="63">
        <v>81230.0</v>
      </c>
      <c r="E161" s="63" t="s">
        <v>384</v>
      </c>
      <c r="F161" s="63">
        <v>1.0</v>
      </c>
      <c r="G161" s="63">
        <v>4.0</v>
      </c>
      <c r="H161" s="63">
        <v>204.0</v>
      </c>
      <c r="I161" s="63">
        <v>40.0</v>
      </c>
      <c r="K161" s="63">
        <v>11.0</v>
      </c>
      <c r="L161" s="63">
        <v>86.0</v>
      </c>
      <c r="M161" s="63">
        <v>2.0</v>
      </c>
      <c r="N161" s="63">
        <v>148.0</v>
      </c>
      <c r="O161" s="63">
        <v>180.0</v>
      </c>
      <c r="S161" s="63">
        <v>2.0</v>
      </c>
      <c r="U161" s="63">
        <v>3.0</v>
      </c>
      <c r="W161" s="64">
        <v>8.0</v>
      </c>
      <c r="X161" s="63">
        <v>4.0</v>
      </c>
      <c r="AA161" s="63">
        <v>5.0</v>
      </c>
      <c r="AB161" s="63">
        <v>4.0</v>
      </c>
      <c r="AD161" s="63">
        <v>5.0</v>
      </c>
      <c r="AE161" s="63">
        <v>7.0</v>
      </c>
      <c r="AG161" s="63">
        <v>10.0</v>
      </c>
      <c r="AH161" s="63">
        <v>13.0</v>
      </c>
      <c r="AI161" s="63">
        <v>1.0</v>
      </c>
      <c r="AR161" s="63">
        <v>11.0</v>
      </c>
      <c r="AS161" s="63">
        <f t="shared" si="1"/>
        <v>369</v>
      </c>
      <c r="AT161" s="63">
        <f t="shared" si="2"/>
        <v>357</v>
      </c>
      <c r="AU161" s="63">
        <f t="shared" si="3"/>
        <v>12</v>
      </c>
      <c r="AV161" s="63">
        <f t="shared" si="4"/>
        <v>12</v>
      </c>
      <c r="AW161" s="63">
        <f t="shared" si="5"/>
        <v>0</v>
      </c>
      <c r="AX161" s="67">
        <f t="shared" si="6"/>
        <v>0</v>
      </c>
      <c r="AY161" s="63">
        <v>104008.0</v>
      </c>
    </row>
    <row r="162" ht="15.75" customHeight="1">
      <c r="A162" s="63" t="s">
        <v>637</v>
      </c>
      <c r="B162" s="63" t="s">
        <v>638</v>
      </c>
      <c r="C162" s="63" t="s">
        <v>639</v>
      </c>
      <c r="D162" s="63">
        <v>80103.0</v>
      </c>
      <c r="E162" s="63" t="s">
        <v>350</v>
      </c>
      <c r="F162" s="63">
        <v>9.0</v>
      </c>
      <c r="S162" s="63">
        <v>1.0</v>
      </c>
      <c r="W162" s="64">
        <v>8.0</v>
      </c>
      <c r="AS162" s="63">
        <f t="shared" si="1"/>
        <v>9</v>
      </c>
      <c r="AT162" s="63">
        <f t="shared" si="2"/>
        <v>1</v>
      </c>
      <c r="AU162" s="63">
        <f t="shared" si="3"/>
        <v>8</v>
      </c>
      <c r="AV162" s="63">
        <f t="shared" si="4"/>
        <v>8</v>
      </c>
      <c r="AW162" s="63">
        <f t="shared" si="5"/>
        <v>0</v>
      </c>
      <c r="AX162" s="67">
        <f t="shared" si="6"/>
        <v>0</v>
      </c>
      <c r="AY162" s="63">
        <v>104008.0</v>
      </c>
    </row>
    <row r="163" ht="15.75" customHeight="1">
      <c r="A163" s="63" t="s">
        <v>343</v>
      </c>
      <c r="B163" s="63" t="s">
        <v>344</v>
      </c>
      <c r="C163" s="63" t="s">
        <v>345</v>
      </c>
      <c r="D163" s="63">
        <v>81101.0</v>
      </c>
      <c r="E163" s="63" t="s">
        <v>346</v>
      </c>
      <c r="W163" s="64"/>
      <c r="AS163" s="63">
        <f t="shared" si="1"/>
        <v>0</v>
      </c>
      <c r="AT163" s="63">
        <f t="shared" si="2"/>
        <v>0</v>
      </c>
      <c r="AU163" s="63">
        <f t="shared" si="3"/>
        <v>0</v>
      </c>
      <c r="AV163" s="63">
        <f t="shared" si="4"/>
        <v>0</v>
      </c>
      <c r="AW163" s="63">
        <f t="shared" si="5"/>
        <v>0</v>
      </c>
      <c r="AX163" s="67">
        <f t="shared" si="6"/>
        <v>0</v>
      </c>
      <c r="AY163" s="63">
        <v>104008.0</v>
      </c>
    </row>
    <row r="164" ht="15.75" customHeight="1">
      <c r="A164" s="63" t="s">
        <v>735</v>
      </c>
      <c r="B164" s="63" t="s">
        <v>736</v>
      </c>
      <c r="C164" s="63" t="s">
        <v>737</v>
      </c>
      <c r="D164" s="63">
        <v>80909.0</v>
      </c>
      <c r="E164" s="63" t="s">
        <v>243</v>
      </c>
      <c r="W164" s="64"/>
      <c r="AS164" s="63">
        <f t="shared" si="1"/>
        <v>0</v>
      </c>
      <c r="AT164" s="63">
        <f t="shared" si="2"/>
        <v>0</v>
      </c>
      <c r="AU164" s="63">
        <f t="shared" si="3"/>
        <v>0</v>
      </c>
      <c r="AV164" s="63">
        <f t="shared" si="4"/>
        <v>0</v>
      </c>
      <c r="AW164" s="63">
        <f t="shared" si="5"/>
        <v>0</v>
      </c>
      <c r="AX164" s="67">
        <f t="shared" si="6"/>
        <v>0</v>
      </c>
      <c r="AY164" s="63">
        <v>104008.0</v>
      </c>
    </row>
    <row r="165" ht="15.75" customHeight="1">
      <c r="A165" s="63" t="s">
        <v>1033</v>
      </c>
      <c r="B165" s="63" t="s">
        <v>1034</v>
      </c>
      <c r="C165" s="63" t="s">
        <v>1035</v>
      </c>
      <c r="D165" s="63">
        <v>81403.0</v>
      </c>
      <c r="E165" s="63" t="s">
        <v>399</v>
      </c>
      <c r="F165" s="63">
        <v>22.0</v>
      </c>
      <c r="S165" s="63">
        <v>2.0</v>
      </c>
      <c r="W165" s="64">
        <v>20.0</v>
      </c>
      <c r="AS165" s="63">
        <f t="shared" si="1"/>
        <v>22</v>
      </c>
      <c r="AT165" s="63">
        <f t="shared" si="2"/>
        <v>2</v>
      </c>
      <c r="AU165" s="63">
        <f t="shared" si="3"/>
        <v>20</v>
      </c>
      <c r="AV165" s="63">
        <f t="shared" si="4"/>
        <v>20</v>
      </c>
      <c r="AW165" s="63">
        <f t="shared" si="5"/>
        <v>0</v>
      </c>
      <c r="AX165" s="67">
        <f t="shared" si="6"/>
        <v>0</v>
      </c>
      <c r="AY165" s="63">
        <v>104008.0</v>
      </c>
    </row>
    <row r="166" ht="15.75" customHeight="1">
      <c r="A166" s="63" t="s">
        <v>649</v>
      </c>
      <c r="B166" s="63" t="s">
        <v>650</v>
      </c>
      <c r="C166" s="63" t="s">
        <v>651</v>
      </c>
      <c r="D166" s="63">
        <v>80226.0</v>
      </c>
      <c r="E166" s="63" t="s">
        <v>239</v>
      </c>
      <c r="F166" s="63">
        <v>180.0</v>
      </c>
      <c r="G166" s="63">
        <v>180.0</v>
      </c>
      <c r="L166" s="63">
        <v>180.0</v>
      </c>
      <c r="N166" s="63">
        <v>180.0</v>
      </c>
      <c r="W166" s="64">
        <v>180.0</v>
      </c>
      <c r="X166" s="63">
        <v>180.0</v>
      </c>
      <c r="Y166" s="63">
        <v>39.0</v>
      </c>
      <c r="Z166" s="63">
        <v>39.0</v>
      </c>
      <c r="AE166" s="63">
        <v>39.0</v>
      </c>
      <c r="AG166" s="63">
        <v>39.0</v>
      </c>
      <c r="AP166" s="63">
        <v>39.0</v>
      </c>
      <c r="AQ166" s="63">
        <v>39.0</v>
      </c>
      <c r="AR166" s="63">
        <v>8.0</v>
      </c>
      <c r="AS166" s="63">
        <f t="shared" si="1"/>
        <v>657</v>
      </c>
      <c r="AT166" s="63">
        <f t="shared" si="2"/>
        <v>219</v>
      </c>
      <c r="AU166" s="63">
        <f t="shared" si="3"/>
        <v>438</v>
      </c>
      <c r="AV166" s="63">
        <f t="shared" si="4"/>
        <v>438</v>
      </c>
      <c r="AW166" s="63">
        <f t="shared" si="5"/>
        <v>0</v>
      </c>
      <c r="AX166" s="67">
        <f t="shared" si="6"/>
        <v>0</v>
      </c>
      <c r="AY166" s="63">
        <v>104008.0</v>
      </c>
    </row>
    <row r="167" ht="15.75" customHeight="1">
      <c r="A167" s="63" t="s">
        <v>686</v>
      </c>
      <c r="B167" s="63" t="s">
        <v>687</v>
      </c>
      <c r="C167" s="63" t="s">
        <v>688</v>
      </c>
      <c r="D167" s="63">
        <v>80439.0</v>
      </c>
      <c r="E167" s="63" t="s">
        <v>239</v>
      </c>
      <c r="G167" s="63">
        <v>1.0</v>
      </c>
      <c r="K167" s="63">
        <v>15.0</v>
      </c>
      <c r="L167" s="63">
        <v>197.0</v>
      </c>
      <c r="N167" s="63">
        <v>199.0</v>
      </c>
      <c r="P167" s="63">
        <v>8.0</v>
      </c>
      <c r="W167" s="64"/>
      <c r="X167" s="63">
        <v>6.0</v>
      </c>
      <c r="AD167" s="63">
        <v>2.0</v>
      </c>
      <c r="AE167" s="63">
        <v>475.0</v>
      </c>
      <c r="AG167" s="63">
        <v>428.0</v>
      </c>
      <c r="AI167" s="63">
        <v>26.0</v>
      </c>
      <c r="AL167" s="63">
        <v>12.0</v>
      </c>
      <c r="AM167" s="63">
        <v>3.0</v>
      </c>
      <c r="AN167" s="63">
        <v>3.0</v>
      </c>
      <c r="AQ167" s="63">
        <v>5.0</v>
      </c>
      <c r="AR167" s="63">
        <v>9.0</v>
      </c>
      <c r="AS167" s="63">
        <f t="shared" si="1"/>
        <v>690</v>
      </c>
      <c r="AT167" s="63">
        <f t="shared" si="2"/>
        <v>679</v>
      </c>
      <c r="AU167" s="63">
        <f t="shared" si="3"/>
        <v>11</v>
      </c>
      <c r="AV167" s="63">
        <f t="shared" si="4"/>
        <v>11</v>
      </c>
      <c r="AW167" s="63">
        <f t="shared" si="5"/>
        <v>0</v>
      </c>
      <c r="AX167" s="67">
        <f t="shared" si="6"/>
        <v>0</v>
      </c>
      <c r="AY167" s="63">
        <v>104008.0</v>
      </c>
    </row>
    <row r="168" ht="15.75" customHeight="1">
      <c r="A168" s="63" t="s">
        <v>689</v>
      </c>
      <c r="B168" s="63" t="s">
        <v>690</v>
      </c>
      <c r="C168" s="63" t="s">
        <v>691</v>
      </c>
      <c r="D168" s="63">
        <v>81428.0</v>
      </c>
      <c r="E168" s="63" t="s">
        <v>323</v>
      </c>
      <c r="W168" s="64"/>
      <c r="AS168" s="63">
        <f t="shared" si="1"/>
        <v>0</v>
      </c>
      <c r="AT168" s="63">
        <f t="shared" si="2"/>
        <v>0</v>
      </c>
      <c r="AU168" s="63">
        <f t="shared" si="3"/>
        <v>0</v>
      </c>
      <c r="AV168" s="63">
        <f t="shared" si="4"/>
        <v>0</v>
      </c>
      <c r="AW168" s="63">
        <f t="shared" si="5"/>
        <v>0</v>
      </c>
      <c r="AX168" s="67">
        <f t="shared" si="6"/>
        <v>0</v>
      </c>
      <c r="AY168" s="63">
        <v>104008.0</v>
      </c>
    </row>
    <row r="169" ht="15.75" customHeight="1">
      <c r="A169" s="63" t="s">
        <v>807</v>
      </c>
      <c r="B169" s="63" t="s">
        <v>808</v>
      </c>
      <c r="C169" s="63" t="s">
        <v>809</v>
      </c>
      <c r="D169" s="63">
        <v>81223.0</v>
      </c>
      <c r="E169" s="63" t="s">
        <v>298</v>
      </c>
      <c r="F169" s="63">
        <v>29.0</v>
      </c>
      <c r="H169" s="63">
        <v>2.0</v>
      </c>
      <c r="I169" s="63">
        <v>21.0</v>
      </c>
      <c r="K169" s="63">
        <v>5.0</v>
      </c>
      <c r="L169" s="63">
        <v>47.0</v>
      </c>
      <c r="N169" s="63">
        <v>35.0</v>
      </c>
      <c r="P169" s="63">
        <v>24.0</v>
      </c>
      <c r="U169" s="63">
        <v>1.0</v>
      </c>
      <c r="W169" s="64">
        <v>44.0</v>
      </c>
      <c r="Y169" s="63">
        <v>13.0</v>
      </c>
      <c r="AA169" s="63">
        <v>4.0</v>
      </c>
      <c r="AB169" s="63">
        <v>10.0</v>
      </c>
      <c r="AD169" s="63">
        <v>12.0</v>
      </c>
      <c r="AE169" s="63">
        <v>99.0</v>
      </c>
      <c r="AF169" s="63">
        <v>47.0</v>
      </c>
      <c r="AG169" s="63">
        <v>102.0</v>
      </c>
      <c r="AI169" s="63">
        <v>24.0</v>
      </c>
      <c r="AJ169" s="63">
        <v>1.0</v>
      </c>
      <c r="AL169" s="63">
        <v>16.0</v>
      </c>
      <c r="AN169" s="63">
        <v>4.0</v>
      </c>
      <c r="AP169" s="63">
        <v>38.0</v>
      </c>
      <c r="AR169" s="63">
        <v>68.0</v>
      </c>
      <c r="AS169" s="63">
        <f t="shared" si="1"/>
        <v>289</v>
      </c>
      <c r="AT169" s="63">
        <f t="shared" si="2"/>
        <v>207</v>
      </c>
      <c r="AU169" s="63">
        <f t="shared" si="3"/>
        <v>82</v>
      </c>
      <c r="AV169" s="63">
        <f t="shared" si="4"/>
        <v>82</v>
      </c>
      <c r="AW169" s="63">
        <f t="shared" si="5"/>
        <v>0</v>
      </c>
      <c r="AX169" s="67">
        <f t="shared" si="6"/>
        <v>0</v>
      </c>
      <c r="AY169" s="63">
        <v>104008.0</v>
      </c>
    </row>
    <row r="170" ht="15.75" customHeight="1">
      <c r="A170" s="63" t="s">
        <v>616</v>
      </c>
      <c r="B170" s="63" t="s">
        <v>617</v>
      </c>
      <c r="C170" s="63" t="s">
        <v>618</v>
      </c>
      <c r="D170" s="63">
        <v>80831.0</v>
      </c>
      <c r="E170" s="63" t="s">
        <v>243</v>
      </c>
      <c r="F170" s="63">
        <v>4.0</v>
      </c>
      <c r="H170" s="63">
        <v>1.0</v>
      </c>
      <c r="I170" s="63">
        <v>28.0</v>
      </c>
      <c r="K170" s="63">
        <v>3.0</v>
      </c>
      <c r="L170" s="63">
        <v>26.0</v>
      </c>
      <c r="N170" s="63">
        <v>49.0</v>
      </c>
      <c r="O170" s="63">
        <v>1.0</v>
      </c>
      <c r="W170" s="64">
        <v>12.0</v>
      </c>
      <c r="AS170" s="63">
        <f t="shared" si="1"/>
        <v>62</v>
      </c>
      <c r="AT170" s="63">
        <f t="shared" si="2"/>
        <v>50</v>
      </c>
      <c r="AU170" s="63">
        <f t="shared" si="3"/>
        <v>12</v>
      </c>
      <c r="AV170" s="63">
        <f t="shared" si="4"/>
        <v>12</v>
      </c>
      <c r="AW170" s="63">
        <f t="shared" si="5"/>
        <v>0</v>
      </c>
      <c r="AX170" s="67">
        <f t="shared" si="6"/>
        <v>0</v>
      </c>
      <c r="AY170" s="63">
        <v>104008.0</v>
      </c>
    </row>
    <row r="171" ht="15.75" customHeight="1">
      <c r="A171" s="63" t="s">
        <v>692</v>
      </c>
      <c r="B171" s="63" t="s">
        <v>693</v>
      </c>
      <c r="C171" s="63" t="s">
        <v>694</v>
      </c>
      <c r="D171" s="63">
        <v>80550.0</v>
      </c>
      <c r="E171" s="63" t="s">
        <v>258</v>
      </c>
      <c r="W171" s="64"/>
      <c r="AS171" s="63">
        <f t="shared" si="1"/>
        <v>0</v>
      </c>
      <c r="AT171" s="63">
        <f t="shared" si="2"/>
        <v>0</v>
      </c>
      <c r="AU171" s="63">
        <f t="shared" si="3"/>
        <v>0</v>
      </c>
      <c r="AV171" s="63">
        <f t="shared" si="4"/>
        <v>0</v>
      </c>
      <c r="AW171" s="63">
        <f t="shared" si="5"/>
        <v>0</v>
      </c>
      <c r="AX171" s="67">
        <f t="shared" si="6"/>
        <v>0</v>
      </c>
      <c r="AY171" s="63">
        <v>104008.0</v>
      </c>
    </row>
    <row r="172" ht="15.75" customHeight="1">
      <c r="A172" s="63" t="s">
        <v>505</v>
      </c>
      <c r="B172" s="63" t="s">
        <v>506</v>
      </c>
      <c r="C172" s="63" t="s">
        <v>507</v>
      </c>
      <c r="D172" s="63">
        <v>80016.0</v>
      </c>
      <c r="E172" s="63" t="s">
        <v>350</v>
      </c>
      <c r="G172" s="63">
        <v>1.0</v>
      </c>
      <c r="L172" s="63">
        <v>12.0</v>
      </c>
      <c r="N172" s="63">
        <v>10.0</v>
      </c>
      <c r="P172" s="63">
        <v>1.0</v>
      </c>
      <c r="W172" s="64"/>
      <c r="X172" s="63">
        <v>2.0</v>
      </c>
      <c r="AE172" s="63">
        <v>4.0</v>
      </c>
      <c r="AG172" s="63">
        <v>4.0</v>
      </c>
      <c r="AR172" s="63">
        <v>25.75</v>
      </c>
      <c r="AS172" s="63">
        <f t="shared" si="1"/>
        <v>17</v>
      </c>
      <c r="AT172" s="63">
        <f t="shared" si="2"/>
        <v>15</v>
      </c>
      <c r="AU172" s="63">
        <f t="shared" si="3"/>
        <v>2</v>
      </c>
      <c r="AV172" s="63">
        <f t="shared" si="4"/>
        <v>2</v>
      </c>
      <c r="AW172" s="63">
        <f t="shared" si="5"/>
        <v>0</v>
      </c>
      <c r="AX172" s="67">
        <f t="shared" si="6"/>
        <v>0</v>
      </c>
      <c r="AY172" s="63">
        <v>104008.0</v>
      </c>
    </row>
    <row r="173" ht="15.75" customHeight="1">
      <c r="A173" s="63" t="s">
        <v>722</v>
      </c>
      <c r="B173" s="63" t="s">
        <v>723</v>
      </c>
      <c r="C173" s="63" t="s">
        <v>724</v>
      </c>
      <c r="D173" s="63">
        <v>80470.0</v>
      </c>
      <c r="E173" s="63" t="s">
        <v>486</v>
      </c>
      <c r="F173" s="63">
        <v>19.0</v>
      </c>
      <c r="I173" s="63">
        <v>3.0</v>
      </c>
      <c r="N173" s="63">
        <v>1.0</v>
      </c>
      <c r="W173" s="64">
        <v>21.0</v>
      </c>
      <c r="AS173" s="63">
        <f t="shared" si="1"/>
        <v>22</v>
      </c>
      <c r="AT173" s="63">
        <f t="shared" si="2"/>
        <v>1</v>
      </c>
      <c r="AU173" s="63">
        <f t="shared" si="3"/>
        <v>21</v>
      </c>
      <c r="AV173" s="63">
        <f t="shared" si="4"/>
        <v>21</v>
      </c>
      <c r="AW173" s="63">
        <f t="shared" si="5"/>
        <v>0</v>
      </c>
      <c r="AX173" s="67">
        <f t="shared" si="6"/>
        <v>0</v>
      </c>
      <c r="AY173" s="63">
        <v>104008.0</v>
      </c>
    </row>
    <row r="174" ht="15.75" customHeight="1">
      <c r="A174" s="63" t="s">
        <v>921</v>
      </c>
      <c r="B174" s="63" t="s">
        <v>922</v>
      </c>
      <c r="C174" s="63" t="s">
        <v>923</v>
      </c>
      <c r="D174" s="63">
        <v>80020.0</v>
      </c>
      <c r="E174" s="63" t="s">
        <v>444</v>
      </c>
      <c r="G174" s="63">
        <v>2.0</v>
      </c>
      <c r="H174" s="63">
        <v>3.0</v>
      </c>
      <c r="I174" s="63">
        <v>12.0</v>
      </c>
      <c r="K174" s="63">
        <v>6.0</v>
      </c>
      <c r="L174" s="63">
        <v>36.0</v>
      </c>
      <c r="N174" s="63">
        <v>34.0</v>
      </c>
      <c r="P174" s="63">
        <v>1.0</v>
      </c>
      <c r="S174" s="63">
        <v>1.0</v>
      </c>
      <c r="U174" s="63">
        <v>4.0</v>
      </c>
      <c r="W174" s="64"/>
      <c r="X174" s="63">
        <v>19.0</v>
      </c>
      <c r="Z174" s="63">
        <v>10.0</v>
      </c>
      <c r="AD174" s="63">
        <v>8.0</v>
      </c>
      <c r="AE174" s="63">
        <v>8.0</v>
      </c>
      <c r="AG174" s="63">
        <v>20.0</v>
      </c>
      <c r="AL174" s="63">
        <v>2.0</v>
      </c>
      <c r="AQ174" s="63">
        <v>4.0</v>
      </c>
      <c r="AR174" s="63">
        <v>43.7</v>
      </c>
      <c r="AS174" s="63">
        <f t="shared" si="1"/>
        <v>85</v>
      </c>
      <c r="AT174" s="63">
        <f t="shared" si="2"/>
        <v>62</v>
      </c>
      <c r="AU174" s="63">
        <f t="shared" si="3"/>
        <v>23</v>
      </c>
      <c r="AV174" s="63">
        <f t="shared" si="4"/>
        <v>23</v>
      </c>
      <c r="AW174" s="63">
        <f t="shared" si="5"/>
        <v>0</v>
      </c>
      <c r="AX174" s="67">
        <f t="shared" si="6"/>
        <v>0</v>
      </c>
      <c r="AY174" s="63">
        <v>104008.0</v>
      </c>
    </row>
    <row r="175" ht="15.75" customHeight="1">
      <c r="A175" s="63" t="s">
        <v>898</v>
      </c>
      <c r="B175" s="63" t="s">
        <v>899</v>
      </c>
      <c r="C175" s="63" t="s">
        <v>900</v>
      </c>
      <c r="D175" s="63">
        <v>80477.0</v>
      </c>
      <c r="E175" s="63" t="s">
        <v>901</v>
      </c>
      <c r="F175" s="63">
        <v>4.0</v>
      </c>
      <c r="G175" s="63">
        <v>1.0</v>
      </c>
      <c r="H175" s="63">
        <v>216.0</v>
      </c>
      <c r="I175" s="63">
        <v>57.0</v>
      </c>
      <c r="M175" s="63">
        <v>13.0</v>
      </c>
      <c r="N175" s="63">
        <v>86.0</v>
      </c>
      <c r="O175" s="63">
        <v>194.0</v>
      </c>
      <c r="P175" s="63">
        <v>2.0</v>
      </c>
      <c r="R175" s="63">
        <v>1.0</v>
      </c>
      <c r="S175" s="63">
        <v>1.0</v>
      </c>
      <c r="U175" s="63">
        <v>3.0</v>
      </c>
      <c r="W175" s="64">
        <v>3.0</v>
      </c>
      <c r="X175" s="63">
        <v>3.0</v>
      </c>
      <c r="AA175" s="63">
        <v>3.0</v>
      </c>
      <c r="AB175" s="63">
        <v>1.0</v>
      </c>
      <c r="AD175" s="63">
        <v>1.0</v>
      </c>
      <c r="AF175" s="63">
        <v>2.0</v>
      </c>
      <c r="AG175" s="63">
        <v>4.0</v>
      </c>
      <c r="AH175" s="63">
        <v>1.0</v>
      </c>
      <c r="AR175" s="63">
        <v>7.0</v>
      </c>
      <c r="AS175" s="63">
        <f t="shared" si="1"/>
        <v>298</v>
      </c>
      <c r="AT175" s="63">
        <f t="shared" si="2"/>
        <v>292</v>
      </c>
      <c r="AU175" s="63">
        <f t="shared" si="3"/>
        <v>6</v>
      </c>
      <c r="AV175" s="63">
        <f t="shared" si="4"/>
        <v>6</v>
      </c>
      <c r="AW175" s="63">
        <f t="shared" si="5"/>
        <v>0</v>
      </c>
      <c r="AX175" s="67">
        <f t="shared" si="6"/>
        <v>0</v>
      </c>
      <c r="AY175" s="63">
        <v>104008.0</v>
      </c>
    </row>
    <row r="176" ht="15.75" customHeight="1">
      <c r="A176" s="63" t="s">
        <v>762</v>
      </c>
      <c r="B176" s="63" t="s">
        <v>763</v>
      </c>
      <c r="C176" s="63" t="s">
        <v>764</v>
      </c>
      <c r="D176" s="63">
        <v>80111.0</v>
      </c>
      <c r="E176" s="63" t="s">
        <v>350</v>
      </c>
      <c r="I176" s="63">
        <v>13.0</v>
      </c>
      <c r="K176" s="63">
        <v>7.0</v>
      </c>
      <c r="N176" s="63">
        <v>12.0</v>
      </c>
      <c r="W176" s="64"/>
      <c r="X176" s="63">
        <v>8.0</v>
      </c>
      <c r="AS176" s="63">
        <f t="shared" si="1"/>
        <v>20</v>
      </c>
      <c r="AT176" s="63">
        <f t="shared" si="2"/>
        <v>12</v>
      </c>
      <c r="AU176" s="63">
        <f t="shared" si="3"/>
        <v>8</v>
      </c>
      <c r="AV176" s="63">
        <f t="shared" si="4"/>
        <v>8</v>
      </c>
      <c r="AW176" s="63">
        <f t="shared" si="5"/>
        <v>0</v>
      </c>
      <c r="AX176" s="67">
        <f t="shared" si="6"/>
        <v>0</v>
      </c>
      <c r="AY176" s="63">
        <v>104008.0</v>
      </c>
    </row>
    <row r="177" ht="15.75" customHeight="1">
      <c r="A177" s="63" t="s">
        <v>236</v>
      </c>
      <c r="B177" s="63" t="s">
        <v>237</v>
      </c>
      <c r="C177" s="63" t="s">
        <v>238</v>
      </c>
      <c r="D177" s="63">
        <v>80123.0</v>
      </c>
      <c r="E177" s="63" t="s">
        <v>239</v>
      </c>
      <c r="G177" s="63">
        <v>21.0</v>
      </c>
      <c r="I177" s="63">
        <v>11.0</v>
      </c>
      <c r="K177" s="63">
        <v>33.0</v>
      </c>
      <c r="L177" s="63">
        <v>1079.0</v>
      </c>
      <c r="N177" s="63">
        <v>1096.0</v>
      </c>
      <c r="Q177" s="63">
        <v>20.0</v>
      </c>
      <c r="S177" s="63">
        <v>2.0</v>
      </c>
      <c r="W177" s="64"/>
      <c r="X177" s="63">
        <v>26.0</v>
      </c>
      <c r="Z177" s="63">
        <v>39.0</v>
      </c>
      <c r="AB177" s="63">
        <v>14.0</v>
      </c>
      <c r="AD177" s="63">
        <v>14.0</v>
      </c>
      <c r="AE177" s="63">
        <v>1330.0</v>
      </c>
      <c r="AG177" s="63">
        <v>1365.0</v>
      </c>
      <c r="AL177" s="63">
        <v>17.0</v>
      </c>
      <c r="AQ177" s="63">
        <v>15.0</v>
      </c>
      <c r="AR177" s="63">
        <v>7.0</v>
      </c>
      <c r="AS177" s="63">
        <f t="shared" si="1"/>
        <v>2541</v>
      </c>
      <c r="AT177" s="63">
        <f t="shared" si="2"/>
        <v>2500</v>
      </c>
      <c r="AU177" s="63">
        <f t="shared" si="3"/>
        <v>41</v>
      </c>
      <c r="AV177" s="63">
        <f t="shared" si="4"/>
        <v>41</v>
      </c>
      <c r="AW177" s="63">
        <f t="shared" si="5"/>
        <v>0</v>
      </c>
      <c r="AX177" s="67">
        <f t="shared" si="6"/>
        <v>0</v>
      </c>
      <c r="AY177" s="63">
        <v>104008.0</v>
      </c>
    </row>
    <row r="178" ht="15.75" customHeight="1">
      <c r="A178" s="63" t="s">
        <v>472</v>
      </c>
      <c r="B178" s="63" t="s">
        <v>473</v>
      </c>
      <c r="C178" s="63" t="s">
        <v>474</v>
      </c>
      <c r="D178" s="63">
        <v>80214.0</v>
      </c>
      <c r="E178" s="63" t="s">
        <v>239</v>
      </c>
      <c r="W178" s="64"/>
      <c r="AS178" s="63">
        <f t="shared" si="1"/>
        <v>0</v>
      </c>
      <c r="AT178" s="63">
        <f t="shared" si="2"/>
        <v>0</v>
      </c>
      <c r="AU178" s="63">
        <f t="shared" si="3"/>
        <v>0</v>
      </c>
      <c r="AV178" s="63">
        <f t="shared" si="4"/>
        <v>0</v>
      </c>
      <c r="AW178" s="63">
        <f t="shared" si="5"/>
        <v>0</v>
      </c>
      <c r="AX178" s="67">
        <f t="shared" si="6"/>
        <v>0</v>
      </c>
      <c r="AY178" s="63">
        <v>104008.0</v>
      </c>
    </row>
    <row r="179" ht="15.75" customHeight="1">
      <c r="A179" s="63" t="s">
        <v>1039</v>
      </c>
      <c r="B179" s="63" t="s">
        <v>1040</v>
      </c>
      <c r="C179" s="63" t="s">
        <v>1041</v>
      </c>
      <c r="D179" s="63">
        <v>80516.0</v>
      </c>
      <c r="E179" s="63" t="s">
        <v>258</v>
      </c>
      <c r="F179" s="63">
        <v>2.0</v>
      </c>
      <c r="G179" s="63">
        <v>2.0</v>
      </c>
      <c r="I179" s="63">
        <v>17.0</v>
      </c>
      <c r="K179" s="63">
        <v>4.0</v>
      </c>
      <c r="N179" s="63">
        <v>19.0</v>
      </c>
      <c r="P179" s="63">
        <v>1.0</v>
      </c>
      <c r="W179" s="64">
        <v>3.0</v>
      </c>
      <c r="X179" s="63">
        <v>3.0</v>
      </c>
      <c r="AS179" s="63">
        <f t="shared" si="1"/>
        <v>25</v>
      </c>
      <c r="AT179" s="63">
        <f t="shared" si="2"/>
        <v>20</v>
      </c>
      <c r="AU179" s="63">
        <f t="shared" si="3"/>
        <v>6</v>
      </c>
      <c r="AV179" s="63">
        <f t="shared" si="4"/>
        <v>5</v>
      </c>
      <c r="AW179" s="63">
        <f t="shared" si="5"/>
        <v>-1</v>
      </c>
      <c r="AX179" s="67">
        <f t="shared" si="6"/>
        <v>-0.000009614645027</v>
      </c>
      <c r="AY179" s="63">
        <v>104008.0</v>
      </c>
    </row>
    <row r="180" ht="15.75" customHeight="1">
      <c r="A180" s="63" t="s">
        <v>865</v>
      </c>
      <c r="B180" s="63" t="s">
        <v>866</v>
      </c>
      <c r="C180" s="63" t="s">
        <v>867</v>
      </c>
      <c r="D180" s="63">
        <v>81650.0</v>
      </c>
      <c r="E180" s="63" t="s">
        <v>425</v>
      </c>
      <c r="F180" s="63">
        <v>23.0</v>
      </c>
      <c r="H180" s="63">
        <v>213.0</v>
      </c>
      <c r="I180" s="63">
        <v>191.0</v>
      </c>
      <c r="K180" s="63">
        <v>105.0</v>
      </c>
      <c r="L180" s="63">
        <v>44.0</v>
      </c>
      <c r="N180" s="63">
        <v>388.0</v>
      </c>
      <c r="O180" s="63">
        <v>155.0</v>
      </c>
      <c r="P180" s="63">
        <v>9.0</v>
      </c>
      <c r="Q180" s="63">
        <v>4.0</v>
      </c>
      <c r="S180" s="63">
        <v>2.0</v>
      </c>
      <c r="U180" s="63">
        <v>4.0</v>
      </c>
      <c r="W180" s="64">
        <v>26.0</v>
      </c>
      <c r="Y180" s="63">
        <v>3.0</v>
      </c>
      <c r="AA180" s="63">
        <v>29.0</v>
      </c>
      <c r="AB180" s="63">
        <v>56.0</v>
      </c>
      <c r="AD180" s="63">
        <v>41.0</v>
      </c>
      <c r="AE180" s="63">
        <v>16.0</v>
      </c>
      <c r="AF180" s="63">
        <v>4.0</v>
      </c>
      <c r="AG180" s="63">
        <v>123.0</v>
      </c>
      <c r="AH180" s="63">
        <v>13.0</v>
      </c>
      <c r="AM180" s="63">
        <v>1.0</v>
      </c>
      <c r="AP180" s="63">
        <v>1.0</v>
      </c>
      <c r="AR180" s="63">
        <v>22.6</v>
      </c>
      <c r="AS180" s="63">
        <f t="shared" si="1"/>
        <v>725</v>
      </c>
      <c r="AT180" s="63">
        <f t="shared" si="2"/>
        <v>699</v>
      </c>
      <c r="AU180" s="63">
        <f t="shared" si="3"/>
        <v>27</v>
      </c>
      <c r="AV180" s="63">
        <f t="shared" si="4"/>
        <v>26</v>
      </c>
      <c r="AW180" s="63">
        <f t="shared" si="5"/>
        <v>-1</v>
      </c>
      <c r="AX180" s="67">
        <f t="shared" si="6"/>
        <v>-0.000009614645027</v>
      </c>
      <c r="AY180" s="63">
        <v>104008.0</v>
      </c>
    </row>
    <row r="181" ht="15.75" customHeight="1">
      <c r="A181" s="63" t="s">
        <v>451</v>
      </c>
      <c r="B181" s="63" t="s">
        <v>452</v>
      </c>
      <c r="C181" s="63" t="s">
        <v>453</v>
      </c>
      <c r="D181" s="63">
        <v>80136.0</v>
      </c>
      <c r="E181" s="63" t="s">
        <v>250</v>
      </c>
      <c r="G181" s="63">
        <v>36.0</v>
      </c>
      <c r="I181" s="63">
        <v>50.0</v>
      </c>
      <c r="K181" s="63">
        <v>12.0</v>
      </c>
      <c r="L181" s="63">
        <v>11.0</v>
      </c>
      <c r="M181" s="63">
        <v>8.0</v>
      </c>
      <c r="N181" s="63">
        <v>81.0</v>
      </c>
      <c r="T181" s="63">
        <v>2.0</v>
      </c>
      <c r="U181" s="63">
        <v>8.0</v>
      </c>
      <c r="W181" s="64"/>
      <c r="X181" s="63">
        <v>27.0</v>
      </c>
      <c r="AF181" s="63">
        <v>6.0</v>
      </c>
      <c r="AQ181" s="63">
        <v>6.0</v>
      </c>
      <c r="AR181" s="63">
        <v>16.0</v>
      </c>
      <c r="AS181" s="63">
        <f t="shared" si="1"/>
        <v>123</v>
      </c>
      <c r="AT181" s="63">
        <f t="shared" si="2"/>
        <v>91</v>
      </c>
      <c r="AU181" s="63">
        <f t="shared" si="3"/>
        <v>33</v>
      </c>
      <c r="AV181" s="63">
        <f t="shared" si="4"/>
        <v>32</v>
      </c>
      <c r="AW181" s="63">
        <f t="shared" si="5"/>
        <v>-1</v>
      </c>
      <c r="AX181" s="67">
        <f t="shared" si="6"/>
        <v>-0.000009614645027</v>
      </c>
      <c r="AY181" s="63">
        <v>104008.0</v>
      </c>
    </row>
    <row r="182" ht="15.75" customHeight="1">
      <c r="A182" s="63" t="s">
        <v>991</v>
      </c>
      <c r="B182" s="63" t="s">
        <v>992</v>
      </c>
      <c r="C182" s="63" t="s">
        <v>993</v>
      </c>
      <c r="D182" s="63">
        <v>81055.0</v>
      </c>
      <c r="E182" s="63" t="s">
        <v>406</v>
      </c>
      <c r="W182" s="64"/>
      <c r="AI182" s="63">
        <v>1.0</v>
      </c>
      <c r="AS182" s="63">
        <f t="shared" si="1"/>
        <v>0</v>
      </c>
      <c r="AT182" s="63">
        <f t="shared" si="2"/>
        <v>1</v>
      </c>
      <c r="AU182" s="63">
        <f t="shared" si="3"/>
        <v>0</v>
      </c>
      <c r="AV182" s="63">
        <f t="shared" si="4"/>
        <v>-1</v>
      </c>
      <c r="AW182" s="63">
        <f t="shared" si="5"/>
        <v>-1</v>
      </c>
      <c r="AX182" s="67">
        <f t="shared" si="6"/>
        <v>-0.000009614645027</v>
      </c>
      <c r="AY182" s="63">
        <v>104008.0</v>
      </c>
    </row>
    <row r="183" ht="15.75" customHeight="1">
      <c r="A183" s="63" t="s">
        <v>422</v>
      </c>
      <c r="B183" s="63" t="s">
        <v>423</v>
      </c>
      <c r="C183" s="63" t="s">
        <v>424</v>
      </c>
      <c r="D183" s="63">
        <v>81601.0</v>
      </c>
      <c r="E183" s="63" t="s">
        <v>425</v>
      </c>
      <c r="F183" s="63">
        <v>26.0</v>
      </c>
      <c r="G183" s="63">
        <v>3.0</v>
      </c>
      <c r="H183" s="63">
        <v>161.0</v>
      </c>
      <c r="I183" s="63">
        <v>124.0</v>
      </c>
      <c r="K183" s="63">
        <v>79.0</v>
      </c>
      <c r="M183" s="63">
        <v>68.0</v>
      </c>
      <c r="N183" s="63">
        <v>201.0</v>
      </c>
      <c r="O183" s="63">
        <v>138.0</v>
      </c>
      <c r="P183" s="63">
        <v>73.0</v>
      </c>
      <c r="R183" s="63">
        <v>4.0</v>
      </c>
      <c r="S183" s="63">
        <v>5.0</v>
      </c>
      <c r="U183" s="63">
        <v>18.0</v>
      </c>
      <c r="W183" s="64">
        <v>20.0</v>
      </c>
      <c r="X183" s="63">
        <v>2.0</v>
      </c>
      <c r="AA183" s="63">
        <v>16.0</v>
      </c>
      <c r="AB183" s="63">
        <v>21.0</v>
      </c>
      <c r="AD183" s="63">
        <v>11.0</v>
      </c>
      <c r="AF183" s="63">
        <v>8.0</v>
      </c>
      <c r="AG183" s="63">
        <v>46.0</v>
      </c>
      <c r="AH183" s="63">
        <v>2.0</v>
      </c>
      <c r="AI183" s="63">
        <v>5.0</v>
      </c>
      <c r="AL183" s="63">
        <v>1.0</v>
      </c>
      <c r="AN183" s="63">
        <v>2.0</v>
      </c>
      <c r="AP183" s="63">
        <v>1.0</v>
      </c>
      <c r="AR183" s="63">
        <v>21.0</v>
      </c>
      <c r="AS183" s="63">
        <f t="shared" si="1"/>
        <v>517</v>
      </c>
      <c r="AT183" s="63">
        <f t="shared" si="2"/>
        <v>495</v>
      </c>
      <c r="AU183" s="63">
        <f t="shared" si="3"/>
        <v>23</v>
      </c>
      <c r="AV183" s="63">
        <f t="shared" si="4"/>
        <v>22</v>
      </c>
      <c r="AW183" s="63">
        <f t="shared" si="5"/>
        <v>-1</v>
      </c>
      <c r="AX183" s="67">
        <f t="shared" si="6"/>
        <v>-0.000009614645027</v>
      </c>
      <c r="AY183" s="63">
        <v>104008.0</v>
      </c>
    </row>
    <row r="184" ht="15.75" customHeight="1">
      <c r="A184" s="63" t="s">
        <v>683</v>
      </c>
      <c r="B184" s="63" t="s">
        <v>684</v>
      </c>
      <c r="C184" s="63" t="s">
        <v>685</v>
      </c>
      <c r="D184" s="63">
        <v>80640.0</v>
      </c>
      <c r="E184" s="63" t="s">
        <v>250</v>
      </c>
      <c r="F184" s="63">
        <v>19.0</v>
      </c>
      <c r="I184" s="63">
        <v>5.0</v>
      </c>
      <c r="K184" s="63">
        <v>13.0</v>
      </c>
      <c r="N184" s="63">
        <v>25.0</v>
      </c>
      <c r="R184" s="63">
        <v>1.0</v>
      </c>
      <c r="W184" s="64">
        <v>12.0</v>
      </c>
      <c r="AS184" s="63">
        <f t="shared" si="1"/>
        <v>37</v>
      </c>
      <c r="AT184" s="63">
        <f t="shared" si="2"/>
        <v>26</v>
      </c>
      <c r="AU184" s="63">
        <f t="shared" si="3"/>
        <v>12</v>
      </c>
      <c r="AV184" s="63">
        <f t="shared" si="4"/>
        <v>11</v>
      </c>
      <c r="AW184" s="63">
        <f t="shared" si="5"/>
        <v>-1</v>
      </c>
      <c r="AX184" s="67">
        <f t="shared" si="6"/>
        <v>-0.000009614645027</v>
      </c>
      <c r="AY184" s="63">
        <v>104008.0</v>
      </c>
    </row>
    <row r="185" ht="15.75" customHeight="1">
      <c r="A185" s="63" t="s">
        <v>240</v>
      </c>
      <c r="B185" s="63" t="s">
        <v>241</v>
      </c>
      <c r="C185" s="63" t="s">
        <v>242</v>
      </c>
      <c r="D185" s="63">
        <v>80831.0</v>
      </c>
      <c r="E185" s="63" t="s">
        <v>243</v>
      </c>
      <c r="F185" s="63">
        <v>1.0</v>
      </c>
      <c r="G185" s="63">
        <v>1.0</v>
      </c>
      <c r="I185" s="63">
        <v>5.0</v>
      </c>
      <c r="K185" s="63">
        <v>1.0</v>
      </c>
      <c r="L185" s="63">
        <v>1.0</v>
      </c>
      <c r="N185" s="63">
        <v>5.0</v>
      </c>
      <c r="T185" s="63">
        <v>1.0</v>
      </c>
      <c r="U185" s="63">
        <v>1.0</v>
      </c>
      <c r="W185" s="64">
        <v>1.0</v>
      </c>
      <c r="X185" s="63">
        <v>1.0</v>
      </c>
      <c r="AB185" s="63">
        <v>1.0</v>
      </c>
      <c r="AP185" s="63">
        <v>1.0</v>
      </c>
      <c r="AQ185" s="63">
        <v>1.0</v>
      </c>
      <c r="AR185" s="63">
        <v>90.0</v>
      </c>
      <c r="AS185" s="63">
        <f t="shared" si="1"/>
        <v>10</v>
      </c>
      <c r="AT185" s="63">
        <f t="shared" si="2"/>
        <v>7</v>
      </c>
      <c r="AU185" s="63">
        <f t="shared" si="3"/>
        <v>4</v>
      </c>
      <c r="AV185" s="63">
        <f t="shared" si="4"/>
        <v>3</v>
      </c>
      <c r="AW185" s="63">
        <f t="shared" si="5"/>
        <v>-1</v>
      </c>
      <c r="AX185" s="67">
        <f t="shared" si="6"/>
        <v>-0.000009614645027</v>
      </c>
      <c r="AY185" s="63">
        <v>104008.0</v>
      </c>
    </row>
    <row r="186" ht="15.75" customHeight="1">
      <c r="A186" s="63" t="s">
        <v>816</v>
      </c>
      <c r="B186" s="63" t="s">
        <v>817</v>
      </c>
      <c r="C186" s="63" t="s">
        <v>818</v>
      </c>
      <c r="D186" s="63">
        <v>80206.0</v>
      </c>
      <c r="E186" s="63" t="s">
        <v>421</v>
      </c>
      <c r="F186" s="63">
        <v>3.0</v>
      </c>
      <c r="G186" s="63">
        <v>1.0</v>
      </c>
      <c r="K186" s="63">
        <v>1.0</v>
      </c>
      <c r="L186" s="63">
        <v>43.0</v>
      </c>
      <c r="N186" s="63">
        <v>44.0</v>
      </c>
      <c r="W186" s="64">
        <v>4.0</v>
      </c>
      <c r="X186" s="63">
        <v>1.0</v>
      </c>
      <c r="AS186" s="63">
        <f t="shared" si="1"/>
        <v>48</v>
      </c>
      <c r="AT186" s="63">
        <f t="shared" si="2"/>
        <v>44</v>
      </c>
      <c r="AU186" s="63">
        <f t="shared" si="3"/>
        <v>5</v>
      </c>
      <c r="AV186" s="63">
        <f t="shared" si="4"/>
        <v>4</v>
      </c>
      <c r="AW186" s="63">
        <f t="shared" si="5"/>
        <v>-1</v>
      </c>
      <c r="AX186" s="67">
        <f t="shared" si="6"/>
        <v>-0.000009614645027</v>
      </c>
      <c r="AY186" s="63">
        <v>104008.0</v>
      </c>
    </row>
    <row r="187" ht="15.75" customHeight="1">
      <c r="A187" s="63" t="s">
        <v>655</v>
      </c>
      <c r="B187" s="63" t="s">
        <v>656</v>
      </c>
      <c r="C187" s="63" t="s">
        <v>657</v>
      </c>
      <c r="D187" s="63">
        <v>80439.0</v>
      </c>
      <c r="E187" s="63" t="s">
        <v>482</v>
      </c>
      <c r="F187" s="63">
        <v>18.0</v>
      </c>
      <c r="G187" s="63">
        <v>18.0</v>
      </c>
      <c r="I187" s="63">
        <v>8.0</v>
      </c>
      <c r="K187" s="63">
        <v>11.0</v>
      </c>
      <c r="L187" s="63">
        <v>29.0</v>
      </c>
      <c r="N187" s="63">
        <v>47.0</v>
      </c>
      <c r="S187" s="63">
        <v>2.0</v>
      </c>
      <c r="W187" s="64">
        <v>17.0</v>
      </c>
      <c r="X187" s="63">
        <v>17.0</v>
      </c>
      <c r="Y187" s="63">
        <v>27.0</v>
      </c>
      <c r="Z187" s="63">
        <v>27.0</v>
      </c>
      <c r="AD187" s="63">
        <v>52.0</v>
      </c>
      <c r="AE187" s="63">
        <v>46.0</v>
      </c>
      <c r="AG187" s="63">
        <v>93.0</v>
      </c>
      <c r="AL187" s="63">
        <v>3.0</v>
      </c>
      <c r="AP187" s="63">
        <v>29.0</v>
      </c>
      <c r="AQ187" s="63">
        <v>29.0</v>
      </c>
      <c r="AR187" s="63">
        <v>28.0</v>
      </c>
      <c r="AS187" s="63">
        <f t="shared" si="1"/>
        <v>236</v>
      </c>
      <c r="AT187" s="63">
        <f t="shared" si="2"/>
        <v>145</v>
      </c>
      <c r="AU187" s="63">
        <f t="shared" si="3"/>
        <v>92</v>
      </c>
      <c r="AV187" s="63">
        <f t="shared" si="4"/>
        <v>91</v>
      </c>
      <c r="AW187" s="63">
        <f t="shared" si="5"/>
        <v>-1</v>
      </c>
      <c r="AX187" s="67">
        <f t="shared" si="6"/>
        <v>-0.000009614645027</v>
      </c>
      <c r="AY187" s="63">
        <v>104008.0</v>
      </c>
    </row>
    <row r="188" ht="15.75" customHeight="1">
      <c r="A188" s="63" t="s">
        <v>810</v>
      </c>
      <c r="B188" s="63" t="s">
        <v>811</v>
      </c>
      <c r="C188" s="63" t="s">
        <v>812</v>
      </c>
      <c r="D188" s="63">
        <v>80935.0</v>
      </c>
      <c r="E188" s="63" t="s">
        <v>243</v>
      </c>
      <c r="F188" s="63">
        <v>6.0</v>
      </c>
      <c r="G188" s="63">
        <v>2.0</v>
      </c>
      <c r="K188" s="63">
        <v>21.0</v>
      </c>
      <c r="L188" s="63">
        <v>2.0</v>
      </c>
      <c r="N188" s="63">
        <v>25.0</v>
      </c>
      <c r="W188" s="64">
        <v>5.0</v>
      </c>
      <c r="X188" s="63">
        <v>2.0</v>
      </c>
      <c r="AD188" s="63">
        <v>5.0</v>
      </c>
      <c r="AE188" s="63">
        <v>8.0</v>
      </c>
      <c r="AG188" s="63">
        <v>12.0</v>
      </c>
      <c r="AQ188" s="63">
        <v>1.0</v>
      </c>
      <c r="AR188" s="63">
        <v>60.0</v>
      </c>
      <c r="AS188" s="63">
        <f t="shared" si="1"/>
        <v>44</v>
      </c>
      <c r="AT188" s="63">
        <f t="shared" si="2"/>
        <v>37</v>
      </c>
      <c r="AU188" s="63">
        <f t="shared" si="3"/>
        <v>8</v>
      </c>
      <c r="AV188" s="63">
        <f t="shared" si="4"/>
        <v>7</v>
      </c>
      <c r="AW188" s="63">
        <f t="shared" si="5"/>
        <v>-1</v>
      </c>
      <c r="AX188" s="67">
        <f t="shared" si="6"/>
        <v>-0.000009614645027</v>
      </c>
      <c r="AY188" s="63">
        <v>104008.0</v>
      </c>
    </row>
    <row r="189" ht="15.75" customHeight="1">
      <c r="A189" s="63" t="s">
        <v>508</v>
      </c>
      <c r="B189" s="63" t="s">
        <v>509</v>
      </c>
      <c r="C189" s="63" t="s">
        <v>510</v>
      </c>
      <c r="D189" s="63">
        <v>80223.0</v>
      </c>
      <c r="E189" s="63" t="s">
        <v>421</v>
      </c>
      <c r="F189" s="63">
        <v>55.0</v>
      </c>
      <c r="H189" s="63">
        <v>3085.0</v>
      </c>
      <c r="I189" s="63">
        <v>222.0</v>
      </c>
      <c r="J189" s="63">
        <v>124.0</v>
      </c>
      <c r="K189" s="63">
        <v>63.0</v>
      </c>
      <c r="M189" s="63">
        <v>1075.0</v>
      </c>
      <c r="N189" s="63">
        <v>1185.0</v>
      </c>
      <c r="O189" s="63">
        <v>1977.0</v>
      </c>
      <c r="P189" s="63">
        <v>598.0</v>
      </c>
      <c r="S189" s="63">
        <v>7.0</v>
      </c>
      <c r="T189" s="63">
        <v>1.0</v>
      </c>
      <c r="U189" s="63">
        <v>653.0</v>
      </c>
      <c r="V189" s="63">
        <v>127.0</v>
      </c>
      <c r="W189" s="64">
        <v>74.0</v>
      </c>
      <c r="X189" s="63">
        <v>3.0</v>
      </c>
      <c r="Y189" s="63">
        <v>2.0</v>
      </c>
      <c r="AA189" s="63">
        <v>211.0</v>
      </c>
      <c r="AB189" s="63">
        <v>36.0</v>
      </c>
      <c r="AC189" s="63">
        <v>1.0</v>
      </c>
      <c r="AD189" s="63">
        <v>2.0</v>
      </c>
      <c r="AF189" s="63">
        <v>52.0</v>
      </c>
      <c r="AG189" s="63">
        <v>138.0</v>
      </c>
      <c r="AH189" s="63">
        <v>66.0</v>
      </c>
      <c r="AI189" s="63">
        <v>76.0</v>
      </c>
      <c r="AL189" s="63">
        <v>7.0</v>
      </c>
      <c r="AN189" s="63">
        <v>12.0</v>
      </c>
      <c r="AO189" s="63">
        <v>1.0</v>
      </c>
      <c r="AP189" s="63">
        <v>4.0</v>
      </c>
      <c r="AR189" s="63">
        <v>8.94999999999999</v>
      </c>
      <c r="AS189" s="63">
        <f t="shared" si="1"/>
        <v>4928</v>
      </c>
      <c r="AT189" s="63">
        <f t="shared" si="2"/>
        <v>4848</v>
      </c>
      <c r="AU189" s="63">
        <f t="shared" si="3"/>
        <v>81</v>
      </c>
      <c r="AV189" s="63">
        <f t="shared" si="4"/>
        <v>80</v>
      </c>
      <c r="AW189" s="63">
        <f t="shared" si="5"/>
        <v>-1</v>
      </c>
      <c r="AX189" s="67">
        <f t="shared" si="6"/>
        <v>-0.000009614645027</v>
      </c>
      <c r="AY189" s="63">
        <v>104008.0</v>
      </c>
    </row>
    <row r="190" ht="15.75" customHeight="1">
      <c r="A190" s="63" t="s">
        <v>738</v>
      </c>
      <c r="B190" s="63" t="s">
        <v>739</v>
      </c>
      <c r="C190" s="63" t="s">
        <v>740</v>
      </c>
      <c r="D190" s="63">
        <v>81611.0</v>
      </c>
      <c r="E190" s="63" t="s">
        <v>302</v>
      </c>
      <c r="G190" s="63">
        <v>6.0</v>
      </c>
      <c r="H190" s="63">
        <v>3.0</v>
      </c>
      <c r="I190" s="63">
        <v>20.0</v>
      </c>
      <c r="K190" s="63">
        <v>9.0</v>
      </c>
      <c r="L190" s="63">
        <v>42.0</v>
      </c>
      <c r="N190" s="63">
        <v>73.0</v>
      </c>
      <c r="O190" s="63">
        <v>2.0</v>
      </c>
      <c r="Q190" s="63">
        <v>1.0</v>
      </c>
      <c r="W190" s="64"/>
      <c r="X190" s="63">
        <v>4.0</v>
      </c>
      <c r="AD190" s="63">
        <v>4.0</v>
      </c>
      <c r="AE190" s="63">
        <v>3.0</v>
      </c>
      <c r="AG190" s="63">
        <v>7.0</v>
      </c>
      <c r="AQ190" s="63">
        <v>1.0</v>
      </c>
      <c r="AR190" s="63">
        <v>35.0</v>
      </c>
      <c r="AS190" s="63">
        <f t="shared" si="1"/>
        <v>87</v>
      </c>
      <c r="AT190" s="63">
        <f t="shared" si="2"/>
        <v>83</v>
      </c>
      <c r="AU190" s="63">
        <f t="shared" si="3"/>
        <v>5</v>
      </c>
      <c r="AV190" s="63">
        <f t="shared" si="4"/>
        <v>4</v>
      </c>
      <c r="AW190" s="63">
        <f t="shared" si="5"/>
        <v>-1</v>
      </c>
      <c r="AX190" s="67">
        <f t="shared" si="6"/>
        <v>-0.000009614645027</v>
      </c>
      <c r="AY190" s="63">
        <v>104008.0</v>
      </c>
    </row>
    <row r="191" ht="15.75" customHeight="1">
      <c r="A191" s="63" t="s">
        <v>502</v>
      </c>
      <c r="B191" s="63" t="s">
        <v>503</v>
      </c>
      <c r="C191" s="63" t="s">
        <v>504</v>
      </c>
      <c r="D191" s="63">
        <v>81416.0</v>
      </c>
      <c r="E191" s="63" t="s">
        <v>323</v>
      </c>
      <c r="F191" s="63">
        <v>3.0</v>
      </c>
      <c r="G191" s="63">
        <v>3.0</v>
      </c>
      <c r="H191" s="63">
        <v>23.0</v>
      </c>
      <c r="I191" s="63">
        <v>29.0</v>
      </c>
      <c r="K191" s="63">
        <v>10.0</v>
      </c>
      <c r="M191" s="63">
        <v>7.0</v>
      </c>
      <c r="N191" s="63">
        <v>41.0</v>
      </c>
      <c r="O191" s="63">
        <v>16.0</v>
      </c>
      <c r="P191" s="63">
        <v>10.0</v>
      </c>
      <c r="W191" s="64">
        <v>5.0</v>
      </c>
      <c r="X191" s="63">
        <v>5.0</v>
      </c>
      <c r="AB191" s="63">
        <v>11.0</v>
      </c>
      <c r="AG191" s="63">
        <v>11.0</v>
      </c>
      <c r="AR191" s="63">
        <v>23.0</v>
      </c>
      <c r="AS191" s="63">
        <f t="shared" si="1"/>
        <v>86</v>
      </c>
      <c r="AT191" s="63">
        <f t="shared" si="2"/>
        <v>78</v>
      </c>
      <c r="AU191" s="63">
        <f t="shared" si="3"/>
        <v>10</v>
      </c>
      <c r="AV191" s="63">
        <f t="shared" si="4"/>
        <v>8</v>
      </c>
      <c r="AW191" s="63">
        <f t="shared" si="5"/>
        <v>-2</v>
      </c>
      <c r="AX191" s="67">
        <f t="shared" si="6"/>
        <v>-0.00001922929005</v>
      </c>
      <c r="AY191" s="63">
        <v>104008.0</v>
      </c>
    </row>
    <row r="192" ht="15.75" customHeight="1">
      <c r="A192" s="63" t="s">
        <v>546</v>
      </c>
      <c r="B192" s="63" t="s">
        <v>547</v>
      </c>
      <c r="C192" s="63" t="s">
        <v>548</v>
      </c>
      <c r="D192" s="63">
        <v>80134.0</v>
      </c>
      <c r="E192" s="63" t="s">
        <v>235</v>
      </c>
      <c r="F192" s="63">
        <v>4.0</v>
      </c>
      <c r="G192" s="63">
        <v>4.0</v>
      </c>
      <c r="I192" s="63">
        <v>17.0</v>
      </c>
      <c r="K192" s="63">
        <v>10.0</v>
      </c>
      <c r="L192" s="63">
        <v>3.0</v>
      </c>
      <c r="N192" s="63">
        <v>30.0</v>
      </c>
      <c r="U192" s="63">
        <v>2.0</v>
      </c>
      <c r="W192" s="64">
        <v>4.0</v>
      </c>
      <c r="X192" s="63">
        <v>4.0</v>
      </c>
      <c r="AB192" s="63">
        <v>8.0</v>
      </c>
      <c r="AG192" s="63">
        <v>8.0</v>
      </c>
      <c r="AR192" s="63">
        <v>21.0</v>
      </c>
      <c r="AS192" s="63">
        <f t="shared" si="1"/>
        <v>46</v>
      </c>
      <c r="AT192" s="63">
        <f t="shared" si="2"/>
        <v>40</v>
      </c>
      <c r="AU192" s="63">
        <f t="shared" si="3"/>
        <v>8</v>
      </c>
      <c r="AV192" s="63">
        <f t="shared" si="4"/>
        <v>6</v>
      </c>
      <c r="AW192" s="63">
        <f t="shared" si="5"/>
        <v>-2</v>
      </c>
      <c r="AX192" s="67">
        <f t="shared" si="6"/>
        <v>-0.00001922929005</v>
      </c>
      <c r="AY192" s="63">
        <v>104008.0</v>
      </c>
    </row>
    <row r="193" ht="15.75" customHeight="1">
      <c r="A193" s="63" t="s">
        <v>987</v>
      </c>
      <c r="B193" s="63" t="s">
        <v>988</v>
      </c>
      <c r="C193" s="63" t="s">
        <v>989</v>
      </c>
      <c r="D193" s="63">
        <v>81036.0</v>
      </c>
      <c r="E193" s="63" t="s">
        <v>990</v>
      </c>
      <c r="H193" s="63">
        <v>2.0</v>
      </c>
      <c r="P193" s="63">
        <v>2.0</v>
      </c>
      <c r="W193" s="64">
        <v>2.0</v>
      </c>
      <c r="AS193" s="63">
        <f t="shared" si="1"/>
        <v>2</v>
      </c>
      <c r="AT193" s="63">
        <f t="shared" si="2"/>
        <v>2</v>
      </c>
      <c r="AU193" s="63">
        <f t="shared" si="3"/>
        <v>2</v>
      </c>
      <c r="AV193" s="63">
        <f t="shared" si="4"/>
        <v>0</v>
      </c>
      <c r="AW193" s="63">
        <f t="shared" si="5"/>
        <v>-2</v>
      </c>
      <c r="AX193" s="67">
        <f t="shared" si="6"/>
        <v>-0.00001922929005</v>
      </c>
      <c r="AY193" s="63">
        <v>104008.0</v>
      </c>
    </row>
    <row r="194" ht="15.75" customHeight="1">
      <c r="A194" s="63" t="s">
        <v>493</v>
      </c>
      <c r="B194" s="63" t="s">
        <v>494</v>
      </c>
      <c r="C194" s="63" t="s">
        <v>495</v>
      </c>
      <c r="D194" s="63">
        <v>80643.0</v>
      </c>
      <c r="E194" s="63" t="s">
        <v>258</v>
      </c>
      <c r="F194" s="63">
        <v>4.0</v>
      </c>
      <c r="I194" s="63">
        <v>6.0</v>
      </c>
      <c r="K194" s="63">
        <v>25.0</v>
      </c>
      <c r="L194" s="63">
        <v>112.0</v>
      </c>
      <c r="N194" s="63">
        <v>99.0</v>
      </c>
      <c r="W194" s="64">
        <v>35.0</v>
      </c>
      <c r="X194" s="63">
        <v>10.0</v>
      </c>
      <c r="AB194" s="63">
        <v>12.0</v>
      </c>
      <c r="AD194" s="63">
        <v>3.0</v>
      </c>
      <c r="AE194" s="63">
        <v>33.0</v>
      </c>
      <c r="AG194" s="63">
        <v>48.0</v>
      </c>
      <c r="AL194" s="63">
        <v>2.0</v>
      </c>
      <c r="AP194" s="63">
        <v>3.0</v>
      </c>
      <c r="AR194" s="63">
        <v>70.0</v>
      </c>
      <c r="AS194" s="63">
        <f t="shared" si="1"/>
        <v>195</v>
      </c>
      <c r="AT194" s="63">
        <f t="shared" si="2"/>
        <v>149</v>
      </c>
      <c r="AU194" s="63">
        <f t="shared" si="3"/>
        <v>48</v>
      </c>
      <c r="AV194" s="63">
        <f t="shared" si="4"/>
        <v>46</v>
      </c>
      <c r="AW194" s="63">
        <f t="shared" si="5"/>
        <v>-2</v>
      </c>
      <c r="AX194" s="67">
        <f t="shared" si="6"/>
        <v>-0.00001922929005</v>
      </c>
      <c r="AY194" s="63">
        <v>104008.0</v>
      </c>
    </row>
    <row r="195" ht="15.75" customHeight="1">
      <c r="A195" s="63" t="s">
        <v>377</v>
      </c>
      <c r="B195" s="63" t="s">
        <v>378</v>
      </c>
      <c r="C195" s="63" t="s">
        <v>379</v>
      </c>
      <c r="D195" s="63">
        <v>81321.0</v>
      </c>
      <c r="E195" s="63" t="s">
        <v>380</v>
      </c>
      <c r="F195" s="63">
        <v>17.0</v>
      </c>
      <c r="H195" s="63">
        <v>306.0</v>
      </c>
      <c r="I195" s="63">
        <v>178.0</v>
      </c>
      <c r="K195" s="63">
        <v>1.0</v>
      </c>
      <c r="N195" s="63">
        <v>106.0</v>
      </c>
      <c r="O195" s="63">
        <v>209.0</v>
      </c>
      <c r="P195" s="63">
        <v>75.0</v>
      </c>
      <c r="U195" s="63">
        <v>95.0</v>
      </c>
      <c r="W195" s="64">
        <v>8.0</v>
      </c>
      <c r="AA195" s="63">
        <v>39.0</v>
      </c>
      <c r="AB195" s="63">
        <v>157.0</v>
      </c>
      <c r="AD195" s="63">
        <v>2.0</v>
      </c>
      <c r="AG195" s="63">
        <v>50.0</v>
      </c>
      <c r="AH195" s="63">
        <v>6.0</v>
      </c>
      <c r="AI195" s="63">
        <v>116.0</v>
      </c>
      <c r="AL195" s="63">
        <v>2.0</v>
      </c>
      <c r="AN195" s="63">
        <v>24.0</v>
      </c>
      <c r="AP195" s="63">
        <v>12.0</v>
      </c>
      <c r="AR195" s="63">
        <v>14.0</v>
      </c>
      <c r="AS195" s="63">
        <f t="shared" si="1"/>
        <v>700</v>
      </c>
      <c r="AT195" s="63">
        <f t="shared" si="2"/>
        <v>683</v>
      </c>
      <c r="AU195" s="63">
        <f t="shared" si="3"/>
        <v>20</v>
      </c>
      <c r="AV195" s="63">
        <f t="shared" si="4"/>
        <v>17</v>
      </c>
      <c r="AW195" s="63">
        <f t="shared" si="5"/>
        <v>-3</v>
      </c>
      <c r="AX195" s="67">
        <f t="shared" si="6"/>
        <v>-0.00002884393508</v>
      </c>
      <c r="AY195" s="63">
        <v>104008.0</v>
      </c>
    </row>
    <row r="196" ht="15.75" customHeight="1">
      <c r="A196" s="63" t="s">
        <v>354</v>
      </c>
      <c r="B196" s="63" t="s">
        <v>355</v>
      </c>
      <c r="C196" s="63" t="s">
        <v>356</v>
      </c>
      <c r="D196" s="63">
        <v>80907.0</v>
      </c>
      <c r="E196" s="63" t="s">
        <v>243</v>
      </c>
      <c r="F196" s="63">
        <v>38.0</v>
      </c>
      <c r="G196" s="63">
        <v>38.0</v>
      </c>
      <c r="I196" s="63">
        <v>1.0</v>
      </c>
      <c r="K196" s="63">
        <v>162.0</v>
      </c>
      <c r="N196" s="63">
        <v>158.0</v>
      </c>
      <c r="W196" s="64">
        <v>43.0</v>
      </c>
      <c r="X196" s="63">
        <v>43.0</v>
      </c>
      <c r="Y196" s="63">
        <v>2.0</v>
      </c>
      <c r="Z196" s="63">
        <v>2.0</v>
      </c>
      <c r="AG196" s="63">
        <v>2.0</v>
      </c>
      <c r="AR196" s="63">
        <v>31.0</v>
      </c>
      <c r="AS196" s="63">
        <f t="shared" si="1"/>
        <v>243</v>
      </c>
      <c r="AT196" s="63">
        <f t="shared" si="2"/>
        <v>160</v>
      </c>
      <c r="AU196" s="63">
        <f t="shared" si="3"/>
        <v>86</v>
      </c>
      <c r="AV196" s="63">
        <f t="shared" si="4"/>
        <v>83</v>
      </c>
      <c r="AW196" s="63">
        <f t="shared" si="5"/>
        <v>-3</v>
      </c>
      <c r="AX196" s="67">
        <f t="shared" si="6"/>
        <v>-0.00002884393508</v>
      </c>
      <c r="AY196" s="63">
        <v>104008.0</v>
      </c>
    </row>
    <row r="197" ht="15.75" customHeight="1">
      <c r="A197" s="63" t="s">
        <v>908</v>
      </c>
      <c r="B197" s="63" t="s">
        <v>909</v>
      </c>
      <c r="C197" s="63" t="s">
        <v>910</v>
      </c>
      <c r="D197" s="63">
        <v>80401.0</v>
      </c>
      <c r="E197" s="63" t="s">
        <v>239</v>
      </c>
      <c r="G197" s="63">
        <v>14.0</v>
      </c>
      <c r="I197" s="63">
        <v>44.0</v>
      </c>
      <c r="K197" s="63">
        <v>65.0</v>
      </c>
      <c r="L197" s="63">
        <v>127.0</v>
      </c>
      <c r="M197" s="63">
        <v>3.0</v>
      </c>
      <c r="N197" s="63">
        <v>233.0</v>
      </c>
      <c r="P197" s="63">
        <v>2.0</v>
      </c>
      <c r="R197" s="63">
        <v>3.0</v>
      </c>
      <c r="U197" s="63">
        <v>1.0</v>
      </c>
      <c r="W197" s="64"/>
      <c r="X197" s="63">
        <v>17.0</v>
      </c>
      <c r="AD197" s="63">
        <v>8.0</v>
      </c>
      <c r="AE197" s="63">
        <v>8.0</v>
      </c>
      <c r="AG197" s="63">
        <v>16.0</v>
      </c>
      <c r="AR197" s="63">
        <v>10.0</v>
      </c>
      <c r="AS197" s="63">
        <f t="shared" si="1"/>
        <v>269</v>
      </c>
      <c r="AT197" s="63">
        <f t="shared" si="2"/>
        <v>255</v>
      </c>
      <c r="AU197" s="63">
        <f t="shared" si="3"/>
        <v>17</v>
      </c>
      <c r="AV197" s="63">
        <f t="shared" si="4"/>
        <v>14</v>
      </c>
      <c r="AW197" s="63">
        <f t="shared" si="5"/>
        <v>-3</v>
      </c>
      <c r="AX197" s="67">
        <f t="shared" si="6"/>
        <v>-0.00002884393508</v>
      </c>
      <c r="AY197" s="63">
        <v>104008.0</v>
      </c>
    </row>
    <row r="198" ht="15.75" customHeight="1">
      <c r="A198" s="63" t="s">
        <v>564</v>
      </c>
      <c r="B198" s="63" t="s">
        <v>565</v>
      </c>
      <c r="C198" s="63" t="s">
        <v>566</v>
      </c>
      <c r="D198" s="63">
        <v>80401.0</v>
      </c>
      <c r="E198" s="63" t="s">
        <v>239</v>
      </c>
      <c r="F198" s="63">
        <v>51.0</v>
      </c>
      <c r="G198" s="63">
        <v>5.0</v>
      </c>
      <c r="H198" s="63">
        <v>2131.0</v>
      </c>
      <c r="I198" s="63">
        <v>709.0</v>
      </c>
      <c r="J198" s="63">
        <v>383.0</v>
      </c>
      <c r="K198" s="63">
        <v>464.0</v>
      </c>
      <c r="L198" s="63">
        <v>685.0</v>
      </c>
      <c r="M198" s="63">
        <v>557.0</v>
      </c>
      <c r="N198" s="63">
        <v>2779.0</v>
      </c>
      <c r="O198" s="63">
        <v>1374.0</v>
      </c>
      <c r="P198" s="63">
        <v>121.0</v>
      </c>
      <c r="S198" s="63">
        <v>3.0</v>
      </c>
      <c r="U198" s="63">
        <v>251.0</v>
      </c>
      <c r="V198" s="63">
        <v>383.0</v>
      </c>
      <c r="W198" s="64">
        <v>69.0</v>
      </c>
      <c r="X198" s="63">
        <v>9.0</v>
      </c>
      <c r="Y198" s="63">
        <v>11.0</v>
      </c>
      <c r="Z198" s="63">
        <v>10.0</v>
      </c>
      <c r="AA198" s="63">
        <v>120.0</v>
      </c>
      <c r="AB198" s="63">
        <v>55.0</v>
      </c>
      <c r="AD198" s="63">
        <v>139.0</v>
      </c>
      <c r="AE198" s="63">
        <v>282.0</v>
      </c>
      <c r="AF198" s="63">
        <v>35.0</v>
      </c>
      <c r="AG198" s="63">
        <v>570.0</v>
      </c>
      <c r="AH198" s="63">
        <v>36.0</v>
      </c>
      <c r="AI198" s="63">
        <v>6.0</v>
      </c>
      <c r="AL198" s="63">
        <v>10.0</v>
      </c>
      <c r="AN198" s="63">
        <v>4.0</v>
      </c>
      <c r="AO198" s="63">
        <v>2.0</v>
      </c>
      <c r="AP198" s="63">
        <v>14.0</v>
      </c>
      <c r="AQ198" s="63">
        <v>9.0</v>
      </c>
      <c r="AR198" s="63">
        <v>11.8</v>
      </c>
      <c r="AS198" s="63">
        <f t="shared" si="1"/>
        <v>5637</v>
      </c>
      <c r="AT198" s="63">
        <f t="shared" si="2"/>
        <v>5539</v>
      </c>
      <c r="AU198" s="63">
        <f t="shared" si="3"/>
        <v>101</v>
      </c>
      <c r="AV198" s="63">
        <f t="shared" si="4"/>
        <v>98</v>
      </c>
      <c r="AW198" s="63">
        <f t="shared" si="5"/>
        <v>-3</v>
      </c>
      <c r="AX198" s="67">
        <f t="shared" si="6"/>
        <v>-0.00002884393508</v>
      </c>
      <c r="AY198" s="63">
        <v>104008.0</v>
      </c>
    </row>
    <row r="199" ht="15.75" customHeight="1">
      <c r="A199" s="63" t="s">
        <v>902</v>
      </c>
      <c r="B199" s="63" t="s">
        <v>903</v>
      </c>
      <c r="C199" s="63" t="s">
        <v>904</v>
      </c>
      <c r="D199" s="63">
        <v>80010.0</v>
      </c>
      <c r="E199" s="63" t="s">
        <v>350</v>
      </c>
      <c r="F199" s="63">
        <v>12.0</v>
      </c>
      <c r="G199" s="63">
        <v>12.0</v>
      </c>
      <c r="I199" s="63">
        <v>2.0</v>
      </c>
      <c r="L199" s="63">
        <v>425.0</v>
      </c>
      <c r="N199" s="63">
        <v>429.0</v>
      </c>
      <c r="S199" s="63">
        <v>3.0</v>
      </c>
      <c r="U199" s="63">
        <v>2.0</v>
      </c>
      <c r="W199" s="64">
        <v>5.0</v>
      </c>
      <c r="X199" s="63">
        <v>5.0</v>
      </c>
      <c r="Y199" s="63">
        <v>7.0</v>
      </c>
      <c r="Z199" s="63">
        <v>7.0</v>
      </c>
      <c r="AE199" s="63">
        <v>468.0</v>
      </c>
      <c r="AG199" s="63">
        <v>445.0</v>
      </c>
      <c r="AL199" s="63">
        <v>13.0</v>
      </c>
      <c r="AP199" s="63">
        <v>17.0</v>
      </c>
      <c r="AQ199" s="63">
        <v>17.0</v>
      </c>
      <c r="AR199" s="63">
        <v>16.0</v>
      </c>
      <c r="AS199" s="63">
        <f t="shared" si="1"/>
        <v>933</v>
      </c>
      <c r="AT199" s="63">
        <f t="shared" si="2"/>
        <v>892</v>
      </c>
      <c r="AU199" s="63">
        <f t="shared" si="3"/>
        <v>44</v>
      </c>
      <c r="AV199" s="63">
        <f t="shared" si="4"/>
        <v>41</v>
      </c>
      <c r="AW199" s="63">
        <f t="shared" si="5"/>
        <v>-3</v>
      </c>
      <c r="AX199" s="67">
        <f t="shared" si="6"/>
        <v>-0.00002884393508</v>
      </c>
      <c r="AY199" s="63">
        <v>104008.0</v>
      </c>
    </row>
    <row r="200" ht="15.75" customHeight="1">
      <c r="A200" s="63" t="s">
        <v>363</v>
      </c>
      <c r="B200" s="63" t="s">
        <v>364</v>
      </c>
      <c r="C200" s="63" t="s">
        <v>365</v>
      </c>
      <c r="D200" s="63">
        <v>80011.0</v>
      </c>
      <c r="E200" s="63" t="s">
        <v>250</v>
      </c>
      <c r="F200" s="63">
        <v>24.0</v>
      </c>
      <c r="H200" s="63">
        <v>1794.0</v>
      </c>
      <c r="I200" s="63">
        <v>294.0</v>
      </c>
      <c r="J200" s="63">
        <v>26.0</v>
      </c>
      <c r="K200" s="63">
        <v>118.0</v>
      </c>
      <c r="M200" s="63">
        <v>265.0</v>
      </c>
      <c r="N200" s="63">
        <v>699.0</v>
      </c>
      <c r="O200" s="63">
        <v>1165.0</v>
      </c>
      <c r="P200" s="63">
        <v>455.0</v>
      </c>
      <c r="Q200" s="63">
        <v>3.0</v>
      </c>
      <c r="S200" s="63">
        <v>2.0</v>
      </c>
      <c r="U200" s="63">
        <v>142.0</v>
      </c>
      <c r="V200" s="63">
        <v>23.0</v>
      </c>
      <c r="W200" s="64">
        <v>32.0</v>
      </c>
      <c r="X200" s="63">
        <v>1.0</v>
      </c>
      <c r="AA200" s="63">
        <v>57.0</v>
      </c>
      <c r="AB200" s="63">
        <v>7.0</v>
      </c>
      <c r="AD200" s="63">
        <v>2.0</v>
      </c>
      <c r="AF200" s="63">
        <v>28.0</v>
      </c>
      <c r="AG200" s="63">
        <v>45.0</v>
      </c>
      <c r="AH200" s="63">
        <v>25.0</v>
      </c>
      <c r="AI200" s="63">
        <v>15.0</v>
      </c>
      <c r="AL200" s="63">
        <v>4.0</v>
      </c>
      <c r="AN200" s="63">
        <v>3.0</v>
      </c>
      <c r="AP200" s="63">
        <v>2.0</v>
      </c>
      <c r="AQ200" s="63">
        <v>3.0</v>
      </c>
      <c r="AR200" s="63">
        <v>8.0</v>
      </c>
      <c r="AS200" s="63">
        <f t="shared" si="1"/>
        <v>2615</v>
      </c>
      <c r="AT200" s="63">
        <f t="shared" si="2"/>
        <v>2581</v>
      </c>
      <c r="AU200" s="63">
        <f t="shared" si="3"/>
        <v>38</v>
      </c>
      <c r="AV200" s="63">
        <f t="shared" si="4"/>
        <v>34</v>
      </c>
      <c r="AW200" s="63">
        <f t="shared" si="5"/>
        <v>-4</v>
      </c>
      <c r="AX200" s="67">
        <f t="shared" si="6"/>
        <v>-0.00003845858011</v>
      </c>
      <c r="AY200" s="63">
        <v>104008.0</v>
      </c>
    </row>
    <row r="201" ht="15.75" customHeight="1">
      <c r="A201" s="63" t="s">
        <v>438</v>
      </c>
      <c r="B201" s="63" t="s">
        <v>439</v>
      </c>
      <c r="C201" s="63" t="s">
        <v>440</v>
      </c>
      <c r="D201" s="63">
        <v>80128.0</v>
      </c>
      <c r="E201" s="63" t="s">
        <v>350</v>
      </c>
      <c r="F201" s="63">
        <v>18.0</v>
      </c>
      <c r="G201" s="63">
        <v>18.0</v>
      </c>
      <c r="I201" s="63">
        <v>152.0</v>
      </c>
      <c r="K201" s="63">
        <v>2.0</v>
      </c>
      <c r="N201" s="63">
        <v>155.0</v>
      </c>
      <c r="S201" s="63">
        <v>1.0</v>
      </c>
      <c r="U201" s="63">
        <v>3.0</v>
      </c>
      <c r="W201" s="64">
        <v>13.0</v>
      </c>
      <c r="X201" s="63">
        <v>13.0</v>
      </c>
      <c r="AB201" s="63">
        <v>9.0</v>
      </c>
      <c r="AP201" s="63">
        <v>9.0</v>
      </c>
      <c r="AQ201" s="63">
        <v>9.0</v>
      </c>
      <c r="AR201" s="63">
        <v>180.0</v>
      </c>
      <c r="AS201" s="63">
        <f t="shared" si="1"/>
        <v>199</v>
      </c>
      <c r="AT201" s="63">
        <f t="shared" si="2"/>
        <v>159</v>
      </c>
      <c r="AU201" s="63">
        <f t="shared" si="3"/>
        <v>44</v>
      </c>
      <c r="AV201" s="63">
        <f t="shared" si="4"/>
        <v>40</v>
      </c>
      <c r="AW201" s="63">
        <f t="shared" si="5"/>
        <v>-4</v>
      </c>
      <c r="AX201" s="67">
        <f t="shared" si="6"/>
        <v>-0.00003845858011</v>
      </c>
      <c r="AY201" s="63">
        <v>104008.0</v>
      </c>
    </row>
    <row r="202" ht="15.75" customHeight="1">
      <c r="A202" s="63" t="s">
        <v>411</v>
      </c>
      <c r="B202" s="63" t="s">
        <v>412</v>
      </c>
      <c r="C202" s="63" t="s">
        <v>413</v>
      </c>
      <c r="D202" s="63">
        <v>80759.0</v>
      </c>
      <c r="E202" s="63" t="s">
        <v>410</v>
      </c>
      <c r="H202" s="63">
        <v>83.0</v>
      </c>
      <c r="O202" s="63">
        <v>59.0</v>
      </c>
      <c r="P202" s="63">
        <v>24.0</v>
      </c>
      <c r="W202" s="64"/>
      <c r="X202" s="63">
        <v>4.0</v>
      </c>
      <c r="AS202" s="63">
        <f t="shared" si="1"/>
        <v>83</v>
      </c>
      <c r="AT202" s="63">
        <f t="shared" si="2"/>
        <v>83</v>
      </c>
      <c r="AU202" s="63">
        <f t="shared" si="3"/>
        <v>4</v>
      </c>
      <c r="AV202" s="63">
        <f t="shared" si="4"/>
        <v>0</v>
      </c>
      <c r="AW202" s="63">
        <f t="shared" si="5"/>
        <v>-4</v>
      </c>
      <c r="AX202" s="67">
        <f t="shared" si="6"/>
        <v>-0.00003845858011</v>
      </c>
      <c r="AY202" s="63">
        <v>104008.0</v>
      </c>
    </row>
    <row r="203" ht="15.75" customHeight="1">
      <c r="A203" s="63" t="s">
        <v>307</v>
      </c>
      <c r="B203" s="63" t="s">
        <v>308</v>
      </c>
      <c r="C203" s="63" t="s">
        <v>309</v>
      </c>
      <c r="D203" s="63">
        <v>80004.0</v>
      </c>
      <c r="E203" s="63" t="s">
        <v>239</v>
      </c>
      <c r="F203" s="63">
        <v>6.0</v>
      </c>
      <c r="G203" s="63">
        <v>6.0</v>
      </c>
      <c r="I203" s="63">
        <v>4.0</v>
      </c>
      <c r="L203" s="63">
        <v>67.0</v>
      </c>
      <c r="N203" s="63">
        <v>67.0</v>
      </c>
      <c r="W203" s="64">
        <v>10.0</v>
      </c>
      <c r="X203" s="63">
        <v>10.0</v>
      </c>
      <c r="AS203" s="63">
        <f t="shared" si="1"/>
        <v>83</v>
      </c>
      <c r="AT203" s="63">
        <f t="shared" si="2"/>
        <v>67</v>
      </c>
      <c r="AU203" s="63">
        <f t="shared" si="3"/>
        <v>20</v>
      </c>
      <c r="AV203" s="63">
        <f t="shared" si="4"/>
        <v>16</v>
      </c>
      <c r="AW203" s="63">
        <f t="shared" si="5"/>
        <v>-4</v>
      </c>
      <c r="AX203" s="67">
        <f t="shared" si="6"/>
        <v>-0.00003845858011</v>
      </c>
      <c r="AY203" s="63">
        <v>104008.0</v>
      </c>
    </row>
    <row r="204" ht="15.75" customHeight="1">
      <c r="A204" s="63" t="s">
        <v>432</v>
      </c>
      <c r="B204" s="63" t="s">
        <v>433</v>
      </c>
      <c r="C204" s="63" t="s">
        <v>434</v>
      </c>
      <c r="D204" s="63">
        <v>80031.0</v>
      </c>
      <c r="E204" s="63" t="s">
        <v>250</v>
      </c>
      <c r="F204" s="63">
        <v>10.0</v>
      </c>
      <c r="G204" s="63">
        <v>10.0</v>
      </c>
      <c r="H204" s="63">
        <v>52.0</v>
      </c>
      <c r="I204" s="63">
        <v>18.0</v>
      </c>
      <c r="K204" s="63">
        <v>10.0</v>
      </c>
      <c r="L204" s="63">
        <v>50.0</v>
      </c>
      <c r="M204" s="63">
        <v>1.0</v>
      </c>
      <c r="N204" s="63">
        <v>130.0</v>
      </c>
      <c r="Q204" s="63">
        <v>1.0</v>
      </c>
      <c r="W204" s="64">
        <v>13.0</v>
      </c>
      <c r="X204" s="63">
        <v>13.0</v>
      </c>
      <c r="Y204" s="63">
        <v>1.0</v>
      </c>
      <c r="Z204" s="63">
        <v>1.0</v>
      </c>
      <c r="AE204" s="63">
        <v>3.0</v>
      </c>
      <c r="AG204" s="63">
        <v>4.0</v>
      </c>
      <c r="AR204" s="63">
        <v>100.0</v>
      </c>
      <c r="AS204" s="63">
        <f t="shared" si="1"/>
        <v>156</v>
      </c>
      <c r="AT204" s="63">
        <f t="shared" si="2"/>
        <v>135</v>
      </c>
      <c r="AU204" s="63">
        <f t="shared" si="3"/>
        <v>26</v>
      </c>
      <c r="AV204" s="63">
        <f t="shared" si="4"/>
        <v>21</v>
      </c>
      <c r="AW204" s="63">
        <f t="shared" si="5"/>
        <v>-5</v>
      </c>
      <c r="AX204" s="67">
        <f t="shared" si="6"/>
        <v>-0.00004807322514</v>
      </c>
      <c r="AY204" s="63">
        <v>104008.0</v>
      </c>
    </row>
    <row r="205" ht="15.75" customHeight="1">
      <c r="A205" s="63" t="s">
        <v>268</v>
      </c>
      <c r="B205" s="63" t="s">
        <v>269</v>
      </c>
      <c r="C205" s="63" t="s">
        <v>270</v>
      </c>
      <c r="D205" s="63">
        <v>80737.0</v>
      </c>
      <c r="E205" s="63" t="s">
        <v>271</v>
      </c>
      <c r="H205" s="63">
        <v>6.0</v>
      </c>
      <c r="N205" s="63">
        <v>1.0</v>
      </c>
      <c r="Q205" s="63">
        <v>3.0</v>
      </c>
      <c r="U205" s="63">
        <v>2.0</v>
      </c>
      <c r="W205" s="64">
        <v>6.0</v>
      </c>
      <c r="AS205" s="63">
        <f t="shared" si="1"/>
        <v>6</v>
      </c>
      <c r="AT205" s="63">
        <f t="shared" si="2"/>
        <v>6</v>
      </c>
      <c r="AU205" s="63">
        <f t="shared" si="3"/>
        <v>6</v>
      </c>
      <c r="AV205" s="63">
        <f t="shared" si="4"/>
        <v>0</v>
      </c>
      <c r="AW205" s="63">
        <f t="shared" si="5"/>
        <v>-6</v>
      </c>
      <c r="AX205" s="67">
        <f t="shared" si="6"/>
        <v>-0.00005768787016</v>
      </c>
      <c r="AY205" s="63">
        <v>104008.0</v>
      </c>
    </row>
    <row r="206" ht="15.75" customHeight="1">
      <c r="A206" s="63" t="s">
        <v>299</v>
      </c>
      <c r="B206" s="63" t="s">
        <v>300</v>
      </c>
      <c r="C206" s="63" t="s">
        <v>301</v>
      </c>
      <c r="D206" s="63">
        <v>81611.0</v>
      </c>
      <c r="E206" s="63" t="s">
        <v>302</v>
      </c>
      <c r="F206" s="63">
        <v>10.0</v>
      </c>
      <c r="H206" s="63">
        <v>107.0</v>
      </c>
      <c r="I206" s="63">
        <v>50.0</v>
      </c>
      <c r="K206" s="63">
        <v>8.0</v>
      </c>
      <c r="L206" s="63">
        <v>11.0</v>
      </c>
      <c r="M206" s="63">
        <v>4.0</v>
      </c>
      <c r="N206" s="63">
        <v>75.0</v>
      </c>
      <c r="O206" s="63">
        <v>108.0</v>
      </c>
      <c r="S206" s="63">
        <v>1.0</v>
      </c>
      <c r="U206" s="63">
        <v>1.0</v>
      </c>
      <c r="W206" s="64">
        <v>12.0</v>
      </c>
      <c r="AB206" s="63">
        <v>10.0</v>
      </c>
      <c r="AD206" s="63">
        <v>2.0</v>
      </c>
      <c r="AE206" s="63">
        <v>99.0</v>
      </c>
      <c r="AG206" s="63">
        <v>110.0</v>
      </c>
      <c r="AR206" s="63">
        <v>25.0</v>
      </c>
      <c r="AS206" s="63">
        <f t="shared" si="1"/>
        <v>301</v>
      </c>
      <c r="AT206" s="63">
        <f t="shared" si="2"/>
        <v>295</v>
      </c>
      <c r="AU206" s="63">
        <f t="shared" si="3"/>
        <v>12</v>
      </c>
      <c r="AV206" s="63">
        <f t="shared" si="4"/>
        <v>6</v>
      </c>
      <c r="AW206" s="63">
        <f t="shared" si="5"/>
        <v>-6</v>
      </c>
      <c r="AX206" s="67">
        <f t="shared" si="6"/>
        <v>-0.00005768787016</v>
      </c>
      <c r="AY206" s="63">
        <v>104008.0</v>
      </c>
    </row>
    <row r="207" ht="15.75" customHeight="1">
      <c r="A207" s="63" t="s">
        <v>664</v>
      </c>
      <c r="B207" s="63" t="s">
        <v>665</v>
      </c>
      <c r="C207" s="63" t="s">
        <v>666</v>
      </c>
      <c r="D207" s="63">
        <v>81147.0</v>
      </c>
      <c r="E207" s="63" t="s">
        <v>667</v>
      </c>
      <c r="F207" s="63">
        <v>17.0</v>
      </c>
      <c r="H207" s="63">
        <v>183.0</v>
      </c>
      <c r="I207" s="63">
        <v>45.0</v>
      </c>
      <c r="K207" s="63">
        <v>3.0</v>
      </c>
      <c r="L207" s="63">
        <v>10.0</v>
      </c>
      <c r="M207" s="63">
        <v>19.0</v>
      </c>
      <c r="N207" s="63">
        <v>102.0</v>
      </c>
      <c r="O207" s="63">
        <v>144.0</v>
      </c>
      <c r="P207" s="63">
        <v>7.0</v>
      </c>
      <c r="S207" s="63">
        <v>1.0</v>
      </c>
      <c r="U207" s="63">
        <v>2.0</v>
      </c>
      <c r="W207" s="64">
        <v>21.0</v>
      </c>
      <c r="X207" s="63">
        <v>3.0</v>
      </c>
      <c r="Y207" s="63">
        <v>6.0</v>
      </c>
      <c r="AA207" s="63">
        <v>64.0</v>
      </c>
      <c r="AB207" s="63">
        <v>34.0</v>
      </c>
      <c r="AE207" s="63">
        <v>3.0</v>
      </c>
      <c r="AF207" s="63">
        <v>4.0</v>
      </c>
      <c r="AG207" s="63">
        <v>63.0</v>
      </c>
      <c r="AH207" s="63">
        <v>14.0</v>
      </c>
      <c r="AI207" s="63">
        <v>20.0</v>
      </c>
      <c r="AJ207" s="63">
        <v>2.0</v>
      </c>
      <c r="AL207" s="63">
        <v>2.0</v>
      </c>
      <c r="AP207" s="63">
        <v>10.0</v>
      </c>
      <c r="AQ207" s="63">
        <v>3.0</v>
      </c>
      <c r="AR207" s="63">
        <v>53.2</v>
      </c>
      <c r="AS207" s="63">
        <f t="shared" si="1"/>
        <v>388</v>
      </c>
      <c r="AT207" s="63">
        <f t="shared" si="2"/>
        <v>357</v>
      </c>
      <c r="AU207" s="63">
        <f t="shared" si="3"/>
        <v>37</v>
      </c>
      <c r="AV207" s="63">
        <f t="shared" si="4"/>
        <v>31</v>
      </c>
      <c r="AW207" s="63">
        <f t="shared" si="5"/>
        <v>-6</v>
      </c>
      <c r="AX207" s="67">
        <f t="shared" si="6"/>
        <v>-0.00005768787016</v>
      </c>
      <c r="AY207" s="63">
        <v>104008.0</v>
      </c>
    </row>
    <row r="208" ht="15.75" customHeight="1">
      <c r="A208" s="63" t="s">
        <v>914</v>
      </c>
      <c r="B208" s="63" t="s">
        <v>915</v>
      </c>
      <c r="C208" s="63" t="s">
        <v>916</v>
      </c>
      <c r="D208" s="63">
        <v>81152.0</v>
      </c>
      <c r="E208" s="63" t="s">
        <v>917</v>
      </c>
      <c r="F208" s="63">
        <v>31.0</v>
      </c>
      <c r="H208" s="63">
        <v>20.0</v>
      </c>
      <c r="I208" s="63">
        <v>123.0</v>
      </c>
      <c r="K208" s="63">
        <v>47.0</v>
      </c>
      <c r="L208" s="63">
        <v>18.0</v>
      </c>
      <c r="M208" s="63">
        <v>1.0</v>
      </c>
      <c r="N208" s="63">
        <v>185.0</v>
      </c>
      <c r="O208" s="63">
        <v>1.0</v>
      </c>
      <c r="P208" s="63">
        <v>22.0</v>
      </c>
      <c r="R208" s="63">
        <v>1.0</v>
      </c>
      <c r="S208" s="63">
        <v>1.0</v>
      </c>
      <c r="W208" s="64">
        <v>46.0</v>
      </c>
      <c r="Y208" s="63">
        <v>16.0</v>
      </c>
      <c r="AA208" s="63">
        <v>4.0</v>
      </c>
      <c r="AB208" s="63">
        <v>136.0</v>
      </c>
      <c r="AD208" s="63">
        <v>6.0</v>
      </c>
      <c r="AG208" s="63">
        <v>118.0</v>
      </c>
      <c r="AI208" s="63">
        <v>12.0</v>
      </c>
      <c r="AL208" s="63">
        <v>7.0</v>
      </c>
      <c r="AP208" s="63">
        <v>15.0</v>
      </c>
      <c r="AR208" s="63">
        <v>65.0</v>
      </c>
      <c r="AS208" s="63">
        <f t="shared" si="1"/>
        <v>402</v>
      </c>
      <c r="AT208" s="63">
        <f t="shared" si="2"/>
        <v>347</v>
      </c>
      <c r="AU208" s="63">
        <f t="shared" si="3"/>
        <v>61</v>
      </c>
      <c r="AV208" s="63">
        <f t="shared" si="4"/>
        <v>55</v>
      </c>
      <c r="AW208" s="63">
        <f t="shared" si="5"/>
        <v>-6</v>
      </c>
      <c r="AX208" s="67">
        <f t="shared" si="6"/>
        <v>-0.00005768787016</v>
      </c>
      <c r="AY208" s="63">
        <v>104008.0</v>
      </c>
    </row>
    <row r="209" ht="15.75" customHeight="1">
      <c r="A209" s="63" t="s">
        <v>946</v>
      </c>
      <c r="B209" s="63" t="s">
        <v>947</v>
      </c>
      <c r="C209" s="63" t="s">
        <v>948</v>
      </c>
      <c r="D209" s="63">
        <v>80304.0</v>
      </c>
      <c r="E209" s="63" t="s">
        <v>279</v>
      </c>
      <c r="F209" s="63">
        <v>17.0</v>
      </c>
      <c r="G209" s="63">
        <v>17.0</v>
      </c>
      <c r="H209" s="63">
        <v>1.0</v>
      </c>
      <c r="I209" s="63">
        <v>13.0</v>
      </c>
      <c r="L209" s="63">
        <v>77.0</v>
      </c>
      <c r="M209" s="63">
        <v>1.0</v>
      </c>
      <c r="N209" s="63">
        <v>90.0</v>
      </c>
      <c r="S209" s="63">
        <v>1.0</v>
      </c>
      <c r="W209" s="64">
        <v>17.0</v>
      </c>
      <c r="X209" s="63">
        <v>17.0</v>
      </c>
      <c r="Y209" s="63">
        <v>1.0</v>
      </c>
      <c r="Z209" s="63">
        <v>1.0</v>
      </c>
      <c r="AE209" s="63">
        <v>12.0</v>
      </c>
      <c r="AG209" s="63">
        <v>13.0</v>
      </c>
      <c r="AP209" s="63">
        <v>4.0</v>
      </c>
      <c r="AQ209" s="63">
        <v>4.0</v>
      </c>
      <c r="AR209" s="63">
        <v>23.0</v>
      </c>
      <c r="AS209" s="63">
        <f t="shared" si="1"/>
        <v>140</v>
      </c>
      <c r="AT209" s="63">
        <f t="shared" si="2"/>
        <v>104</v>
      </c>
      <c r="AU209" s="63">
        <f t="shared" si="3"/>
        <v>42</v>
      </c>
      <c r="AV209" s="63">
        <f t="shared" si="4"/>
        <v>36</v>
      </c>
      <c r="AW209" s="63">
        <f t="shared" si="5"/>
        <v>-6</v>
      </c>
      <c r="AX209" s="67">
        <f t="shared" si="6"/>
        <v>-0.00005768787016</v>
      </c>
      <c r="AY209" s="63">
        <v>104008.0</v>
      </c>
    </row>
    <row r="210" ht="15.75" customHeight="1">
      <c r="A210" s="63" t="s">
        <v>527</v>
      </c>
      <c r="B210" s="63" t="s">
        <v>528</v>
      </c>
      <c r="C210" s="63" t="s">
        <v>529</v>
      </c>
      <c r="D210" s="63">
        <v>80125.0</v>
      </c>
      <c r="E210" s="63" t="s">
        <v>235</v>
      </c>
      <c r="F210" s="63">
        <v>10.0</v>
      </c>
      <c r="G210" s="63">
        <v>10.0</v>
      </c>
      <c r="I210" s="63">
        <v>5.0</v>
      </c>
      <c r="K210" s="63">
        <v>23.0</v>
      </c>
      <c r="L210" s="63">
        <v>183.0</v>
      </c>
      <c r="M210" s="63">
        <v>9.0</v>
      </c>
      <c r="N210" s="63">
        <v>191.0</v>
      </c>
      <c r="P210" s="63">
        <v>1.0</v>
      </c>
      <c r="S210" s="63">
        <v>1.0</v>
      </c>
      <c r="T210" s="63">
        <v>1.0</v>
      </c>
      <c r="U210" s="63">
        <v>1.0</v>
      </c>
      <c r="W210" s="64">
        <v>25.0</v>
      </c>
      <c r="X210" s="63">
        <v>25.0</v>
      </c>
      <c r="AE210" s="63">
        <v>126.0</v>
      </c>
      <c r="AG210" s="63">
        <v>124.0</v>
      </c>
      <c r="AL210" s="63">
        <v>1.0</v>
      </c>
      <c r="AP210" s="63">
        <v>1.0</v>
      </c>
      <c r="AQ210" s="63">
        <v>1.0</v>
      </c>
      <c r="AR210" s="63">
        <v>14.0</v>
      </c>
      <c r="AS210" s="63">
        <f t="shared" si="1"/>
        <v>366</v>
      </c>
      <c r="AT210" s="63">
        <f t="shared" si="2"/>
        <v>320</v>
      </c>
      <c r="AU210" s="63">
        <f t="shared" si="3"/>
        <v>52</v>
      </c>
      <c r="AV210" s="63">
        <f t="shared" si="4"/>
        <v>46</v>
      </c>
      <c r="AW210" s="63">
        <f t="shared" si="5"/>
        <v>-6</v>
      </c>
      <c r="AX210" s="67">
        <f t="shared" si="6"/>
        <v>-0.00005768787016</v>
      </c>
      <c r="AY210" s="63">
        <v>104008.0</v>
      </c>
    </row>
    <row r="211" ht="15.75" customHeight="1">
      <c r="A211" s="63" t="s">
        <v>868</v>
      </c>
      <c r="B211" s="63" t="s">
        <v>869</v>
      </c>
      <c r="C211" s="63" t="s">
        <v>870</v>
      </c>
      <c r="D211" s="63">
        <v>80111.0</v>
      </c>
      <c r="E211" s="63" t="s">
        <v>350</v>
      </c>
      <c r="F211" s="63">
        <v>24.0</v>
      </c>
      <c r="G211" s="63">
        <v>24.0</v>
      </c>
      <c r="I211" s="63">
        <v>84.0</v>
      </c>
      <c r="K211" s="63">
        <v>26.0</v>
      </c>
      <c r="L211" s="63">
        <v>36.0</v>
      </c>
      <c r="N211" s="63">
        <v>134.0</v>
      </c>
      <c r="O211" s="63">
        <v>2.0</v>
      </c>
      <c r="P211" s="63">
        <v>2.0</v>
      </c>
      <c r="Q211" s="63">
        <v>1.0</v>
      </c>
      <c r="S211" s="63">
        <v>2.0</v>
      </c>
      <c r="U211" s="63">
        <v>4.0</v>
      </c>
      <c r="W211" s="64">
        <v>25.0</v>
      </c>
      <c r="X211" s="63">
        <v>25.0</v>
      </c>
      <c r="AB211" s="63">
        <v>9.0</v>
      </c>
      <c r="AG211" s="63">
        <v>3.0</v>
      </c>
      <c r="AP211" s="63">
        <v>6.0</v>
      </c>
      <c r="AQ211" s="63">
        <v>6.0</v>
      </c>
      <c r="AR211" s="63">
        <v>40.0</v>
      </c>
      <c r="AS211" s="63">
        <f t="shared" si="1"/>
        <v>203</v>
      </c>
      <c r="AT211" s="63">
        <f t="shared" si="2"/>
        <v>148</v>
      </c>
      <c r="AU211" s="63">
        <f t="shared" si="3"/>
        <v>62</v>
      </c>
      <c r="AV211" s="63">
        <f t="shared" si="4"/>
        <v>55</v>
      </c>
      <c r="AW211" s="63">
        <f t="shared" si="5"/>
        <v>-7</v>
      </c>
      <c r="AX211" s="67">
        <f t="shared" si="6"/>
        <v>-0.00006730251519</v>
      </c>
      <c r="AY211" s="63">
        <v>104008.0</v>
      </c>
    </row>
    <row r="212" ht="15.75" customHeight="1">
      <c r="A212" s="63" t="s">
        <v>445</v>
      </c>
      <c r="B212" s="63" t="s">
        <v>446</v>
      </c>
      <c r="C212" s="63" t="s">
        <v>447</v>
      </c>
      <c r="D212" s="63">
        <v>80017.0</v>
      </c>
      <c r="E212" s="63" t="s">
        <v>350</v>
      </c>
      <c r="F212" s="63">
        <v>27.0</v>
      </c>
      <c r="G212" s="63">
        <v>27.0</v>
      </c>
      <c r="I212" s="63">
        <v>8.0</v>
      </c>
      <c r="K212" s="63">
        <v>4.0</v>
      </c>
      <c r="L212" s="63">
        <v>2.0</v>
      </c>
      <c r="N212" s="63">
        <v>22.0</v>
      </c>
      <c r="R212" s="63">
        <v>18.0</v>
      </c>
      <c r="S212" s="63">
        <v>1.0</v>
      </c>
      <c r="U212" s="63">
        <v>1.0</v>
      </c>
      <c r="W212" s="64">
        <v>16.0</v>
      </c>
      <c r="X212" s="63">
        <v>16.0</v>
      </c>
      <c r="AO212" s="63">
        <v>1.0</v>
      </c>
      <c r="AS212" s="63">
        <f t="shared" si="1"/>
        <v>68</v>
      </c>
      <c r="AT212" s="63">
        <f t="shared" si="2"/>
        <v>43</v>
      </c>
      <c r="AU212" s="63">
        <f t="shared" si="3"/>
        <v>32</v>
      </c>
      <c r="AV212" s="63">
        <f t="shared" si="4"/>
        <v>25</v>
      </c>
      <c r="AW212" s="63">
        <f t="shared" si="5"/>
        <v>-7</v>
      </c>
      <c r="AX212" s="67">
        <f t="shared" si="6"/>
        <v>-0.00006730251519</v>
      </c>
      <c r="AY212" s="63">
        <v>104008.0</v>
      </c>
    </row>
    <row r="213" ht="15.75" customHeight="1">
      <c r="A213" s="63" t="s">
        <v>892</v>
      </c>
      <c r="B213" s="63" t="s">
        <v>893</v>
      </c>
      <c r="C213" s="63" t="s">
        <v>894</v>
      </c>
      <c r="D213" s="63">
        <v>81501.0</v>
      </c>
      <c r="E213" s="63" t="s">
        <v>417</v>
      </c>
      <c r="F213" s="63">
        <v>27.0</v>
      </c>
      <c r="G213" s="63">
        <v>6.0</v>
      </c>
      <c r="I213" s="63">
        <v>87.0</v>
      </c>
      <c r="K213" s="63">
        <v>80.0</v>
      </c>
      <c r="L213" s="63">
        <v>138.0</v>
      </c>
      <c r="M213" s="63">
        <v>93.0</v>
      </c>
      <c r="N213" s="63">
        <v>387.0</v>
      </c>
      <c r="O213" s="63">
        <v>3.0</v>
      </c>
      <c r="P213" s="63">
        <v>1.0</v>
      </c>
      <c r="Q213" s="63">
        <v>7.0</v>
      </c>
      <c r="W213" s="64">
        <v>33.0</v>
      </c>
      <c r="Y213" s="63">
        <v>2.0</v>
      </c>
      <c r="AA213" s="63">
        <v>5.0</v>
      </c>
      <c r="AB213" s="63">
        <v>45.0</v>
      </c>
      <c r="AD213" s="63">
        <v>10.0</v>
      </c>
      <c r="AE213" s="63">
        <v>19.0</v>
      </c>
      <c r="AF213" s="63">
        <v>16.0</v>
      </c>
      <c r="AG213" s="63">
        <v>98.0</v>
      </c>
      <c r="AJ213" s="63">
        <v>1.0</v>
      </c>
      <c r="AL213" s="63">
        <v>1.0</v>
      </c>
      <c r="AP213" s="63">
        <v>4.0</v>
      </c>
      <c r="AR213" s="63">
        <v>12.5</v>
      </c>
      <c r="AS213" s="63">
        <f t="shared" si="1"/>
        <v>528</v>
      </c>
      <c r="AT213" s="63">
        <f t="shared" si="2"/>
        <v>498</v>
      </c>
      <c r="AU213" s="63">
        <f t="shared" si="3"/>
        <v>37</v>
      </c>
      <c r="AV213" s="63">
        <f t="shared" si="4"/>
        <v>30</v>
      </c>
      <c r="AW213" s="63">
        <f t="shared" si="5"/>
        <v>-7</v>
      </c>
      <c r="AX213" s="67">
        <f t="shared" si="6"/>
        <v>-0.00006730251519</v>
      </c>
      <c r="AY213" s="63">
        <v>104008.0</v>
      </c>
    </row>
    <row r="214" ht="15.75" customHeight="1">
      <c r="A214" s="63" t="s">
        <v>949</v>
      </c>
      <c r="B214" s="63" t="s">
        <v>950</v>
      </c>
      <c r="C214" s="63" t="s">
        <v>951</v>
      </c>
      <c r="D214" s="63">
        <v>80305.0</v>
      </c>
      <c r="E214" s="63" t="s">
        <v>279</v>
      </c>
      <c r="I214" s="63">
        <v>1.0</v>
      </c>
      <c r="L214" s="63">
        <v>103.0</v>
      </c>
      <c r="N214" s="63">
        <v>102.0</v>
      </c>
      <c r="W214" s="64">
        <v>1.0</v>
      </c>
      <c r="X214" s="63">
        <v>1.0</v>
      </c>
      <c r="AE214" s="63">
        <v>174.0</v>
      </c>
      <c r="AG214" s="63">
        <v>167.0</v>
      </c>
      <c r="AP214" s="63">
        <v>7.0</v>
      </c>
      <c r="AQ214" s="63">
        <v>7.0</v>
      </c>
      <c r="AR214" s="63">
        <v>14.0</v>
      </c>
      <c r="AS214" s="63">
        <f t="shared" si="1"/>
        <v>278</v>
      </c>
      <c r="AT214" s="63">
        <f t="shared" si="2"/>
        <v>269</v>
      </c>
      <c r="AU214" s="63">
        <f t="shared" si="3"/>
        <v>16</v>
      </c>
      <c r="AV214" s="63">
        <f t="shared" si="4"/>
        <v>9</v>
      </c>
      <c r="AW214" s="63">
        <f t="shared" si="5"/>
        <v>-7</v>
      </c>
      <c r="AX214" s="67">
        <f t="shared" si="6"/>
        <v>-0.00006730251519</v>
      </c>
      <c r="AY214" s="63">
        <v>104008.0</v>
      </c>
    </row>
    <row r="215" ht="15.75" customHeight="1">
      <c r="A215" s="63" t="s">
        <v>366</v>
      </c>
      <c r="B215" s="63" t="s">
        <v>367</v>
      </c>
      <c r="C215" s="63" t="s">
        <v>368</v>
      </c>
      <c r="D215" s="63">
        <v>80601.0</v>
      </c>
      <c r="E215" s="63" t="s">
        <v>250</v>
      </c>
      <c r="H215" s="63">
        <v>332.0</v>
      </c>
      <c r="I215" s="63">
        <v>45.0</v>
      </c>
      <c r="M215" s="63">
        <v>5.0</v>
      </c>
      <c r="N215" s="63">
        <v>3.0</v>
      </c>
      <c r="O215" s="63">
        <v>243.0</v>
      </c>
      <c r="P215" s="63">
        <v>87.0</v>
      </c>
      <c r="U215" s="63">
        <v>49.0</v>
      </c>
      <c r="W215" s="64"/>
      <c r="AA215" s="63">
        <v>8.0</v>
      </c>
      <c r="AG215" s="63">
        <v>2.0</v>
      </c>
      <c r="AH215" s="63">
        <v>2.0</v>
      </c>
      <c r="AI215" s="63">
        <v>4.0</v>
      </c>
      <c r="AP215" s="63">
        <v>8.0</v>
      </c>
      <c r="AR215" s="63">
        <v>4.333</v>
      </c>
      <c r="AS215" s="63">
        <f t="shared" si="1"/>
        <v>390</v>
      </c>
      <c r="AT215" s="63">
        <f t="shared" si="2"/>
        <v>390</v>
      </c>
      <c r="AU215" s="63">
        <f t="shared" si="3"/>
        <v>8</v>
      </c>
      <c r="AV215" s="63">
        <f t="shared" si="4"/>
        <v>0</v>
      </c>
      <c r="AW215" s="63">
        <f t="shared" si="5"/>
        <v>-8</v>
      </c>
      <c r="AX215" s="67">
        <f t="shared" si="6"/>
        <v>-0.00007691716022</v>
      </c>
      <c r="AY215" s="63">
        <v>104008.0</v>
      </c>
    </row>
    <row r="216" ht="15.75" customHeight="1">
      <c r="A216" s="63" t="s">
        <v>880</v>
      </c>
      <c r="B216" s="63" t="s">
        <v>881</v>
      </c>
      <c r="C216" s="63" t="s">
        <v>882</v>
      </c>
      <c r="D216" s="63">
        <v>80038.0</v>
      </c>
      <c r="E216" s="63" t="s">
        <v>444</v>
      </c>
      <c r="G216" s="63">
        <v>9.0</v>
      </c>
      <c r="K216" s="63">
        <v>2.0</v>
      </c>
      <c r="L216" s="63">
        <v>198.0</v>
      </c>
      <c r="M216" s="63">
        <v>3.0</v>
      </c>
      <c r="N216" s="63">
        <v>198.0</v>
      </c>
      <c r="Q216" s="63">
        <v>1.0</v>
      </c>
      <c r="S216" s="63">
        <v>3.0</v>
      </c>
      <c r="W216" s="64"/>
      <c r="X216" s="63">
        <v>18.0</v>
      </c>
      <c r="Z216" s="63">
        <v>8.0</v>
      </c>
      <c r="AE216" s="63">
        <v>88.0</v>
      </c>
      <c r="AG216" s="63">
        <v>83.0</v>
      </c>
      <c r="AL216" s="63">
        <v>1.0</v>
      </c>
      <c r="AQ216" s="63">
        <v>12.0</v>
      </c>
      <c r="AR216" s="63">
        <v>12.0</v>
      </c>
      <c r="AS216" s="63">
        <f t="shared" si="1"/>
        <v>308</v>
      </c>
      <c r="AT216" s="63">
        <f t="shared" si="2"/>
        <v>286</v>
      </c>
      <c r="AU216" s="63">
        <f t="shared" si="3"/>
        <v>30</v>
      </c>
      <c r="AV216" s="63">
        <f t="shared" si="4"/>
        <v>22</v>
      </c>
      <c r="AW216" s="63">
        <f t="shared" si="5"/>
        <v>-8</v>
      </c>
      <c r="AX216" s="67">
        <f t="shared" si="6"/>
        <v>-0.00007691716022</v>
      </c>
      <c r="AY216" s="63">
        <v>104008.0</v>
      </c>
    </row>
    <row r="217" ht="15.75" customHeight="1">
      <c r="A217" s="63" t="s">
        <v>698</v>
      </c>
      <c r="B217" s="63" t="s">
        <v>699</v>
      </c>
      <c r="C217" s="63" t="s">
        <v>700</v>
      </c>
      <c r="D217" s="63">
        <v>81303.0</v>
      </c>
      <c r="E217" s="63" t="s">
        <v>287</v>
      </c>
      <c r="F217" s="63">
        <v>29.0</v>
      </c>
      <c r="H217" s="63">
        <v>614.0</v>
      </c>
      <c r="I217" s="63">
        <v>235.0</v>
      </c>
      <c r="J217" s="63">
        <v>95.0</v>
      </c>
      <c r="K217" s="63">
        <v>28.0</v>
      </c>
      <c r="L217" s="63">
        <v>180.0</v>
      </c>
      <c r="M217" s="63">
        <v>59.0</v>
      </c>
      <c r="N217" s="63">
        <v>557.0</v>
      </c>
      <c r="O217" s="63">
        <v>465.0</v>
      </c>
      <c r="P217" s="63">
        <v>44.0</v>
      </c>
      <c r="S217" s="63">
        <v>1.0</v>
      </c>
      <c r="U217" s="63">
        <v>19.0</v>
      </c>
      <c r="V217" s="63">
        <v>95.0</v>
      </c>
      <c r="W217" s="64">
        <v>56.0</v>
      </c>
      <c r="Y217" s="63">
        <v>23.0</v>
      </c>
      <c r="AA217" s="63">
        <v>150.0</v>
      </c>
      <c r="AB217" s="63">
        <v>109.0</v>
      </c>
      <c r="AD217" s="63">
        <v>34.0</v>
      </c>
      <c r="AE217" s="63">
        <v>110.0</v>
      </c>
      <c r="AF217" s="63">
        <v>19.0</v>
      </c>
      <c r="AG217" s="63">
        <v>346.0</v>
      </c>
      <c r="AH217" s="63">
        <v>48.0</v>
      </c>
      <c r="AI217" s="63">
        <v>20.0</v>
      </c>
      <c r="AL217" s="63">
        <v>4.0</v>
      </c>
      <c r="AN217" s="63">
        <v>9.0</v>
      </c>
      <c r="AP217" s="63">
        <v>31.0</v>
      </c>
      <c r="AR217" s="63">
        <v>14.0</v>
      </c>
      <c r="AS217" s="63">
        <f t="shared" si="1"/>
        <v>1685</v>
      </c>
      <c r="AT217" s="63">
        <f t="shared" si="2"/>
        <v>1608</v>
      </c>
      <c r="AU217" s="63">
        <f t="shared" si="3"/>
        <v>87</v>
      </c>
      <c r="AV217" s="63">
        <f t="shared" si="4"/>
        <v>77</v>
      </c>
      <c r="AW217" s="63">
        <f t="shared" si="5"/>
        <v>-10</v>
      </c>
      <c r="AX217" s="67">
        <f t="shared" si="6"/>
        <v>-0.00009614645027</v>
      </c>
      <c r="AY217" s="63">
        <v>104008.0</v>
      </c>
    </row>
    <row r="218" ht="15.75" customHeight="1">
      <c r="A218" s="63" t="s">
        <v>1005</v>
      </c>
      <c r="B218" s="63" t="s">
        <v>1006</v>
      </c>
      <c r="C218" s="63" t="s">
        <v>1007</v>
      </c>
      <c r="D218" s="63">
        <v>81648.0</v>
      </c>
      <c r="E218" s="63" t="s">
        <v>1001</v>
      </c>
      <c r="F218" s="63">
        <v>6.0</v>
      </c>
      <c r="G218" s="63">
        <v>2.0</v>
      </c>
      <c r="H218" s="63">
        <v>78.0</v>
      </c>
      <c r="I218" s="63">
        <v>10.0</v>
      </c>
      <c r="K218" s="63">
        <v>7.0</v>
      </c>
      <c r="L218" s="63">
        <v>91.0</v>
      </c>
      <c r="M218" s="63">
        <v>8.0</v>
      </c>
      <c r="N218" s="63">
        <v>67.0</v>
      </c>
      <c r="O218" s="63">
        <v>47.0</v>
      </c>
      <c r="P218" s="63">
        <v>30.0</v>
      </c>
      <c r="Q218" s="63">
        <v>7.0</v>
      </c>
      <c r="R218" s="63">
        <v>2.0</v>
      </c>
      <c r="S218" s="63">
        <v>2.0</v>
      </c>
      <c r="U218" s="63">
        <v>2.0</v>
      </c>
      <c r="W218" s="64">
        <v>7.0</v>
      </c>
      <c r="X218" s="63">
        <v>2.0</v>
      </c>
      <c r="Y218" s="63">
        <v>5.0</v>
      </c>
      <c r="Z218" s="63">
        <v>2.0</v>
      </c>
      <c r="AA218" s="63">
        <v>7.0</v>
      </c>
      <c r="AB218" s="63">
        <v>6.0</v>
      </c>
      <c r="AD218" s="63">
        <v>8.0</v>
      </c>
      <c r="AE218" s="63">
        <v>22.0</v>
      </c>
      <c r="AF218" s="63">
        <v>7.0</v>
      </c>
      <c r="AG218" s="63">
        <v>50.0</v>
      </c>
      <c r="AH218" s="63">
        <v>9.0</v>
      </c>
      <c r="AI218" s="63">
        <v>16.0</v>
      </c>
      <c r="AJ218" s="63">
        <v>3.0</v>
      </c>
      <c r="AK218" s="63">
        <v>16.0</v>
      </c>
      <c r="AL218" s="63">
        <v>3.0</v>
      </c>
      <c r="AN218" s="63">
        <v>1.0</v>
      </c>
      <c r="AP218" s="63">
        <v>3.0</v>
      </c>
      <c r="AQ218" s="63">
        <v>2.0</v>
      </c>
      <c r="AR218" s="63">
        <v>5.0</v>
      </c>
      <c r="AS218" s="63">
        <f t="shared" si="1"/>
        <v>259</v>
      </c>
      <c r="AT218" s="63">
        <f t="shared" si="2"/>
        <v>255</v>
      </c>
      <c r="AU218" s="63">
        <f t="shared" si="3"/>
        <v>14</v>
      </c>
      <c r="AV218" s="63">
        <f t="shared" si="4"/>
        <v>4</v>
      </c>
      <c r="AW218" s="63">
        <f t="shared" si="5"/>
        <v>-10</v>
      </c>
      <c r="AX218" s="67">
        <f t="shared" si="6"/>
        <v>-0.00009614645027</v>
      </c>
      <c r="AY218" s="63">
        <v>104008.0</v>
      </c>
    </row>
    <row r="219" ht="15.75" customHeight="1">
      <c r="A219" s="63" t="s">
        <v>284</v>
      </c>
      <c r="B219" s="63" t="s">
        <v>285</v>
      </c>
      <c r="C219" s="63" t="s">
        <v>286</v>
      </c>
      <c r="D219" s="63">
        <v>81303.0</v>
      </c>
      <c r="E219" s="63" t="s">
        <v>287</v>
      </c>
      <c r="F219" s="63">
        <v>50.0</v>
      </c>
      <c r="I219" s="63">
        <v>26.0</v>
      </c>
      <c r="L219" s="63">
        <v>11.0</v>
      </c>
      <c r="N219" s="63">
        <v>18.0</v>
      </c>
      <c r="P219" s="63">
        <v>2.0</v>
      </c>
      <c r="R219" s="63">
        <v>20.0</v>
      </c>
      <c r="S219" s="63">
        <v>2.0</v>
      </c>
      <c r="W219" s="64">
        <v>58.0</v>
      </c>
      <c r="AB219" s="63">
        <v>9.0</v>
      </c>
      <c r="AG219" s="63">
        <v>2.0</v>
      </c>
      <c r="AP219" s="63">
        <v>7.0</v>
      </c>
      <c r="AR219" s="63">
        <v>53.0</v>
      </c>
      <c r="AS219" s="63">
        <f t="shared" si="1"/>
        <v>96</v>
      </c>
      <c r="AT219" s="63">
        <f t="shared" si="2"/>
        <v>44</v>
      </c>
      <c r="AU219" s="63">
        <f t="shared" si="3"/>
        <v>65</v>
      </c>
      <c r="AV219" s="63">
        <f t="shared" si="4"/>
        <v>52</v>
      </c>
      <c r="AW219" s="63">
        <f t="shared" si="5"/>
        <v>-13</v>
      </c>
      <c r="AX219" s="67">
        <f t="shared" si="6"/>
        <v>-0.0001249903854</v>
      </c>
      <c r="AY219" s="63">
        <v>104008.0</v>
      </c>
    </row>
    <row r="220" ht="15.75" customHeight="1">
      <c r="A220" s="63" t="s">
        <v>789</v>
      </c>
      <c r="B220" s="63" t="s">
        <v>790</v>
      </c>
      <c r="C220" s="63" t="s">
        <v>791</v>
      </c>
      <c r="D220" s="63">
        <v>80831.0</v>
      </c>
      <c r="E220" s="63" t="s">
        <v>243</v>
      </c>
      <c r="F220" s="63">
        <v>123.0</v>
      </c>
      <c r="G220" s="63">
        <v>49.0</v>
      </c>
      <c r="H220" s="63">
        <v>3.0</v>
      </c>
      <c r="I220" s="63">
        <v>12.0</v>
      </c>
      <c r="K220" s="63">
        <v>45.0</v>
      </c>
      <c r="L220" s="63">
        <v>750.0</v>
      </c>
      <c r="M220" s="63">
        <v>44.0</v>
      </c>
      <c r="N220" s="63">
        <v>603.0</v>
      </c>
      <c r="P220" s="63">
        <v>140.0</v>
      </c>
      <c r="Q220" s="63">
        <v>76.0</v>
      </c>
      <c r="S220" s="63">
        <v>11.0</v>
      </c>
      <c r="W220" s="64">
        <v>163.0</v>
      </c>
      <c r="X220" s="63">
        <v>52.0</v>
      </c>
      <c r="AA220" s="63">
        <v>2.0</v>
      </c>
      <c r="AB220" s="63">
        <v>1.0</v>
      </c>
      <c r="AD220" s="63">
        <v>7.0</v>
      </c>
      <c r="AE220" s="63">
        <v>29.0</v>
      </c>
      <c r="AF220" s="63">
        <v>12.0</v>
      </c>
      <c r="AG220" s="63">
        <v>20.0</v>
      </c>
      <c r="AI220" s="63">
        <v>17.0</v>
      </c>
      <c r="AJ220" s="63">
        <v>7.0</v>
      </c>
      <c r="AL220" s="63">
        <v>1.0</v>
      </c>
      <c r="AR220" s="63">
        <v>16.0</v>
      </c>
      <c r="AS220" s="63">
        <f t="shared" si="1"/>
        <v>1077</v>
      </c>
      <c r="AT220" s="63">
        <f t="shared" si="2"/>
        <v>875</v>
      </c>
      <c r="AU220" s="63">
        <f t="shared" si="3"/>
        <v>215</v>
      </c>
      <c r="AV220" s="63">
        <f t="shared" si="4"/>
        <v>202</v>
      </c>
      <c r="AW220" s="63">
        <f t="shared" si="5"/>
        <v>-13</v>
      </c>
      <c r="AX220" s="67">
        <f t="shared" si="6"/>
        <v>-0.0001249903854</v>
      </c>
      <c r="AY220" s="63">
        <v>104008.0</v>
      </c>
    </row>
    <row r="221" ht="15.75" customHeight="1">
      <c r="A221" s="63" t="s">
        <v>680</v>
      </c>
      <c r="B221" s="63" t="s">
        <v>681</v>
      </c>
      <c r="C221" s="63" t="s">
        <v>682</v>
      </c>
      <c r="D221" s="63">
        <v>80470.0</v>
      </c>
      <c r="E221" s="63" t="s">
        <v>486</v>
      </c>
      <c r="F221" s="63">
        <v>16.0</v>
      </c>
      <c r="H221" s="63">
        <v>28.0</v>
      </c>
      <c r="I221" s="63">
        <v>19.0</v>
      </c>
      <c r="K221" s="63">
        <v>89.0</v>
      </c>
      <c r="L221" s="63">
        <v>57.0</v>
      </c>
      <c r="N221" s="63">
        <v>182.0</v>
      </c>
      <c r="O221" s="63">
        <v>11.0</v>
      </c>
      <c r="P221" s="63">
        <v>9.0</v>
      </c>
      <c r="U221" s="63">
        <v>1.0</v>
      </c>
      <c r="W221" s="64">
        <v>12.0</v>
      </c>
      <c r="X221" s="63">
        <v>3.0</v>
      </c>
      <c r="AD221" s="63">
        <v>20.0</v>
      </c>
      <c r="AE221" s="63">
        <v>13.0</v>
      </c>
      <c r="AG221" s="63">
        <v>33.0</v>
      </c>
      <c r="AQ221" s="63">
        <v>6.0</v>
      </c>
      <c r="AR221" s="63">
        <v>3.0</v>
      </c>
      <c r="AS221" s="63">
        <f t="shared" si="1"/>
        <v>242</v>
      </c>
      <c r="AT221" s="63">
        <f t="shared" si="2"/>
        <v>236</v>
      </c>
      <c r="AU221" s="63">
        <f t="shared" si="3"/>
        <v>21</v>
      </c>
      <c r="AV221" s="63">
        <f t="shared" si="4"/>
        <v>6</v>
      </c>
      <c r="AW221" s="63">
        <f t="shared" si="5"/>
        <v>-15</v>
      </c>
      <c r="AX221" s="67">
        <f t="shared" si="6"/>
        <v>-0.0001442196754</v>
      </c>
      <c r="AY221" s="63">
        <v>104008.0</v>
      </c>
    </row>
    <row r="222" ht="15.75" customHeight="1">
      <c r="A222" s="63" t="s">
        <v>856</v>
      </c>
      <c r="B222" s="63" t="s">
        <v>857</v>
      </c>
      <c r="C222" s="63" t="s">
        <v>858</v>
      </c>
      <c r="D222" s="63">
        <v>81520.0</v>
      </c>
      <c r="E222" s="63" t="s">
        <v>417</v>
      </c>
      <c r="I222" s="63">
        <v>10.0</v>
      </c>
      <c r="K222" s="63">
        <v>1.0</v>
      </c>
      <c r="L222" s="63">
        <v>27.0</v>
      </c>
      <c r="N222" s="63">
        <v>27.0</v>
      </c>
      <c r="P222" s="63">
        <v>5.0</v>
      </c>
      <c r="Q222" s="63">
        <v>1.0</v>
      </c>
      <c r="T222" s="63">
        <v>2.0</v>
      </c>
      <c r="W222" s="64">
        <v>3.0</v>
      </c>
      <c r="X222" s="63">
        <v>3.0</v>
      </c>
      <c r="AB222" s="63">
        <v>7.0</v>
      </c>
      <c r="AD222" s="63">
        <v>4.0</v>
      </c>
      <c r="AE222" s="63">
        <v>16.0</v>
      </c>
      <c r="AG222" s="63">
        <v>14.0</v>
      </c>
      <c r="AL222" s="63">
        <v>1.0</v>
      </c>
      <c r="AP222" s="63">
        <v>12.0</v>
      </c>
      <c r="AQ222" s="63">
        <v>12.0</v>
      </c>
      <c r="AR222" s="63">
        <v>25.0</v>
      </c>
      <c r="AS222" s="63">
        <f t="shared" si="1"/>
        <v>65</v>
      </c>
      <c r="AT222" s="63">
        <f t="shared" si="2"/>
        <v>50</v>
      </c>
      <c r="AU222" s="63">
        <f t="shared" si="3"/>
        <v>30</v>
      </c>
      <c r="AV222" s="63">
        <f t="shared" si="4"/>
        <v>15</v>
      </c>
      <c r="AW222" s="63">
        <f t="shared" si="5"/>
        <v>-15</v>
      </c>
      <c r="AX222" s="67">
        <f t="shared" si="6"/>
        <v>-0.0001442196754</v>
      </c>
      <c r="AY222" s="63">
        <v>104008.0</v>
      </c>
    </row>
    <row r="223" ht="15.75" customHeight="1">
      <c r="A223" s="63" t="s">
        <v>579</v>
      </c>
      <c r="B223" s="63" t="s">
        <v>580</v>
      </c>
      <c r="C223" s="63" t="s">
        <v>581</v>
      </c>
      <c r="D223" s="63">
        <v>80110.0</v>
      </c>
      <c r="E223" s="63" t="s">
        <v>350</v>
      </c>
      <c r="F223" s="63">
        <v>3.0</v>
      </c>
      <c r="G223" s="63">
        <v>22.0</v>
      </c>
      <c r="H223" s="63">
        <v>2.0</v>
      </c>
      <c r="K223" s="63">
        <v>40.0</v>
      </c>
      <c r="L223" s="63">
        <v>42.0</v>
      </c>
      <c r="M223" s="63">
        <v>9.0</v>
      </c>
      <c r="N223" s="63">
        <v>68.0</v>
      </c>
      <c r="P223" s="63">
        <v>4.0</v>
      </c>
      <c r="R223" s="63">
        <v>29.0</v>
      </c>
      <c r="U223" s="63">
        <v>1.0</v>
      </c>
      <c r="W223" s="64">
        <v>8.0</v>
      </c>
      <c r="X223" s="63">
        <v>26.0</v>
      </c>
      <c r="AD223" s="63">
        <v>2.0</v>
      </c>
      <c r="AR223" s="63">
        <v>27.0</v>
      </c>
      <c r="AS223" s="63">
        <f t="shared" si="1"/>
        <v>120</v>
      </c>
      <c r="AT223" s="63">
        <f t="shared" si="2"/>
        <v>102</v>
      </c>
      <c r="AU223" s="63">
        <f t="shared" si="3"/>
        <v>34</v>
      </c>
      <c r="AV223" s="63">
        <f t="shared" si="4"/>
        <v>18</v>
      </c>
      <c r="AW223" s="63">
        <f t="shared" si="5"/>
        <v>-16</v>
      </c>
      <c r="AX223" s="67">
        <f t="shared" si="6"/>
        <v>-0.0001538343204</v>
      </c>
      <c r="AY223" s="63">
        <v>104008.0</v>
      </c>
    </row>
    <row r="224" ht="15.75" customHeight="1">
      <c r="A224" s="63" t="s">
        <v>966</v>
      </c>
      <c r="B224" s="63" t="s">
        <v>967</v>
      </c>
      <c r="C224" s="63" t="s">
        <v>968</v>
      </c>
      <c r="D224" s="63">
        <v>80911.0</v>
      </c>
      <c r="E224" s="63" t="s">
        <v>243</v>
      </c>
      <c r="F224" s="63">
        <v>8.0</v>
      </c>
      <c r="G224" s="63">
        <v>5.0</v>
      </c>
      <c r="H224" s="63">
        <v>5.0</v>
      </c>
      <c r="I224" s="63">
        <v>36.0</v>
      </c>
      <c r="K224" s="63">
        <v>22.0</v>
      </c>
      <c r="L224" s="63">
        <v>31.0</v>
      </c>
      <c r="M224" s="63">
        <v>3.0</v>
      </c>
      <c r="N224" s="63">
        <v>89.0</v>
      </c>
      <c r="W224" s="64">
        <v>20.0</v>
      </c>
      <c r="X224" s="63">
        <v>17.0</v>
      </c>
      <c r="AE224" s="63">
        <v>10.0</v>
      </c>
      <c r="AF224" s="63">
        <v>3.0</v>
      </c>
      <c r="AG224" s="63">
        <v>7.0</v>
      </c>
      <c r="AP224" s="63">
        <v>3.0</v>
      </c>
      <c r="AQ224" s="63">
        <v>3.0</v>
      </c>
      <c r="AR224" s="63">
        <v>66.0</v>
      </c>
      <c r="AS224" s="63">
        <f t="shared" si="1"/>
        <v>123</v>
      </c>
      <c r="AT224" s="63">
        <f t="shared" si="2"/>
        <v>96</v>
      </c>
      <c r="AU224" s="63">
        <f t="shared" si="3"/>
        <v>43</v>
      </c>
      <c r="AV224" s="63">
        <f t="shared" si="4"/>
        <v>27</v>
      </c>
      <c r="AW224" s="63">
        <f t="shared" si="5"/>
        <v>-16</v>
      </c>
      <c r="AX224" s="67">
        <f t="shared" si="6"/>
        <v>-0.0001538343204</v>
      </c>
      <c r="AY224" s="63">
        <v>104008.0</v>
      </c>
    </row>
    <row r="225" ht="15.75" customHeight="1">
      <c r="A225" s="63" t="s">
        <v>674</v>
      </c>
      <c r="B225" s="63" t="s">
        <v>675</v>
      </c>
      <c r="C225" s="63" t="s">
        <v>676</v>
      </c>
      <c r="D225" s="63">
        <v>80620.0</v>
      </c>
      <c r="E225" s="63" t="s">
        <v>258</v>
      </c>
      <c r="F225" s="63">
        <v>70.0</v>
      </c>
      <c r="H225" s="63">
        <v>1792.0</v>
      </c>
      <c r="I225" s="63">
        <v>223.0</v>
      </c>
      <c r="J225" s="63">
        <v>152.0</v>
      </c>
      <c r="K225" s="63">
        <v>2.0</v>
      </c>
      <c r="M225" s="63">
        <v>167.0</v>
      </c>
      <c r="N225" s="63">
        <v>837.0</v>
      </c>
      <c r="O225" s="63">
        <v>987.0</v>
      </c>
      <c r="P225" s="63">
        <v>126.0</v>
      </c>
      <c r="Q225" s="63">
        <v>6.0</v>
      </c>
      <c r="S225" s="63">
        <v>5.0</v>
      </c>
      <c r="T225" s="63">
        <v>2.0</v>
      </c>
      <c r="U225" s="63">
        <v>245.0</v>
      </c>
      <c r="V225" s="63">
        <v>152.0</v>
      </c>
      <c r="W225" s="64">
        <v>68.0</v>
      </c>
      <c r="X225" s="63">
        <v>2.0</v>
      </c>
      <c r="Y225" s="63">
        <v>5.0</v>
      </c>
      <c r="AA225" s="63">
        <v>99.0</v>
      </c>
      <c r="AB225" s="63">
        <v>27.0</v>
      </c>
      <c r="AC225" s="63">
        <v>1.0</v>
      </c>
      <c r="AF225" s="63">
        <v>9.0</v>
      </c>
      <c r="AG225" s="63">
        <v>90.0</v>
      </c>
      <c r="AH225" s="63">
        <v>11.0</v>
      </c>
      <c r="AI225" s="63">
        <v>6.0</v>
      </c>
      <c r="AL225" s="63">
        <v>7.0</v>
      </c>
      <c r="AN225" s="63">
        <v>4.0</v>
      </c>
      <c r="AO225" s="63">
        <v>1.0</v>
      </c>
      <c r="AP225" s="63">
        <v>1.0</v>
      </c>
      <c r="AQ225" s="63">
        <v>14.0</v>
      </c>
      <c r="AR225" s="63">
        <v>10.6</v>
      </c>
      <c r="AS225" s="63">
        <f t="shared" si="1"/>
        <v>2547</v>
      </c>
      <c r="AT225" s="63">
        <f t="shared" si="2"/>
        <v>2479</v>
      </c>
      <c r="AU225" s="63">
        <f t="shared" si="3"/>
        <v>85</v>
      </c>
      <c r="AV225" s="63">
        <f t="shared" si="4"/>
        <v>68</v>
      </c>
      <c r="AW225" s="63">
        <f t="shared" si="5"/>
        <v>-17</v>
      </c>
      <c r="AX225" s="67">
        <f t="shared" si="6"/>
        <v>-0.0001634489655</v>
      </c>
      <c r="AY225" s="63">
        <v>104008.0</v>
      </c>
    </row>
    <row r="226" ht="15.75" customHeight="1">
      <c r="A226" s="63" t="s">
        <v>295</v>
      </c>
      <c r="B226" s="63" t="s">
        <v>296</v>
      </c>
      <c r="C226" s="63" t="s">
        <v>297</v>
      </c>
      <c r="D226" s="63">
        <v>81212.0</v>
      </c>
      <c r="E226" s="63" t="s">
        <v>298</v>
      </c>
      <c r="F226" s="63">
        <v>52.0</v>
      </c>
      <c r="I226" s="63">
        <v>46.0</v>
      </c>
      <c r="K226" s="63">
        <v>79.0</v>
      </c>
      <c r="L226" s="63">
        <v>102.0</v>
      </c>
      <c r="M226" s="63">
        <v>27.0</v>
      </c>
      <c r="N226" s="63">
        <v>254.0</v>
      </c>
      <c r="U226" s="63">
        <v>1.0</v>
      </c>
      <c r="W226" s="64">
        <v>73.0</v>
      </c>
      <c r="Y226" s="63">
        <v>4.0</v>
      </c>
      <c r="AE226" s="63">
        <v>4.0</v>
      </c>
      <c r="AG226" s="63">
        <v>3.0</v>
      </c>
      <c r="AI226" s="63">
        <v>1.0</v>
      </c>
      <c r="AR226" s="63">
        <v>63.0</v>
      </c>
      <c r="AS226" s="63">
        <f t="shared" si="1"/>
        <v>314</v>
      </c>
      <c r="AT226" s="63">
        <f t="shared" si="2"/>
        <v>259</v>
      </c>
      <c r="AU226" s="63">
        <f t="shared" si="3"/>
        <v>73</v>
      </c>
      <c r="AV226" s="63">
        <f t="shared" si="4"/>
        <v>55</v>
      </c>
      <c r="AW226" s="63">
        <f t="shared" si="5"/>
        <v>-18</v>
      </c>
      <c r="AX226" s="67">
        <f t="shared" si="6"/>
        <v>-0.0001730636105</v>
      </c>
      <c r="AY226" s="63">
        <v>104008.0</v>
      </c>
    </row>
    <row r="227" ht="15.75" customHeight="1">
      <c r="A227" s="64" t="s">
        <v>958</v>
      </c>
      <c r="B227" s="64" t="s">
        <v>959</v>
      </c>
      <c r="C227" s="64" t="s">
        <v>960</v>
      </c>
      <c r="D227" s="64">
        <v>80104.0</v>
      </c>
      <c r="E227" s="64" t="s">
        <v>235</v>
      </c>
      <c r="F227" s="64">
        <v>23.0</v>
      </c>
      <c r="G227" s="64"/>
      <c r="H227" s="64">
        <v>880.0</v>
      </c>
      <c r="I227" s="64">
        <v>747.0</v>
      </c>
      <c r="J227" s="64">
        <v>277.0</v>
      </c>
      <c r="K227" s="64">
        <v>53.0</v>
      </c>
      <c r="L227" s="64">
        <v>49.0</v>
      </c>
      <c r="M227" s="64">
        <v>13.0</v>
      </c>
      <c r="N227" s="64">
        <v>872.0</v>
      </c>
      <c r="O227" s="64">
        <v>730.0</v>
      </c>
      <c r="P227" s="64">
        <v>16.0</v>
      </c>
      <c r="Q227" s="64">
        <v>3.0</v>
      </c>
      <c r="R227" s="64"/>
      <c r="S227" s="64"/>
      <c r="T227" s="64"/>
      <c r="U227" s="64">
        <v>125.0</v>
      </c>
      <c r="V227" s="64">
        <v>277.0</v>
      </c>
      <c r="W227" s="64">
        <v>27.0</v>
      </c>
      <c r="X227" s="64">
        <v>1.0</v>
      </c>
      <c r="Y227" s="64">
        <v>1.0</v>
      </c>
      <c r="Z227" s="64"/>
      <c r="AA227" s="64">
        <v>27.0</v>
      </c>
      <c r="AB227" s="64">
        <v>28.0</v>
      </c>
      <c r="AC227" s="64"/>
      <c r="AD227" s="64">
        <v>14.0</v>
      </c>
      <c r="AE227" s="64">
        <v>5.0</v>
      </c>
      <c r="AF227" s="64"/>
      <c r="AG227" s="64">
        <v>66.0</v>
      </c>
      <c r="AH227" s="64">
        <v>18.0</v>
      </c>
      <c r="AI227" s="64"/>
      <c r="AJ227" s="64"/>
      <c r="AK227" s="64"/>
      <c r="AL227" s="64"/>
      <c r="AM227" s="64"/>
      <c r="AN227" s="64">
        <v>1.0</v>
      </c>
      <c r="AO227" s="64"/>
      <c r="AP227" s="64"/>
      <c r="AQ227" s="64"/>
      <c r="AR227" s="64">
        <v>2.2</v>
      </c>
      <c r="AS227" s="64">
        <f t="shared" si="1"/>
        <v>2117</v>
      </c>
      <c r="AT227" s="64">
        <f t="shared" si="2"/>
        <v>2108</v>
      </c>
      <c r="AU227" s="64">
        <f t="shared" si="3"/>
        <v>28</v>
      </c>
      <c r="AV227" s="64">
        <f t="shared" si="4"/>
        <v>9</v>
      </c>
      <c r="AW227" s="64">
        <f t="shared" si="5"/>
        <v>-19</v>
      </c>
      <c r="AX227" s="67">
        <f t="shared" si="6"/>
        <v>-0.0001826782555</v>
      </c>
      <c r="AY227" s="63">
        <v>104008.0</v>
      </c>
    </row>
    <row r="228" ht="15.75" customHeight="1">
      <c r="A228" s="63" t="s">
        <v>976</v>
      </c>
      <c r="B228" s="63" t="s">
        <v>977</v>
      </c>
      <c r="C228" s="63" t="s">
        <v>978</v>
      </c>
      <c r="D228" s="63">
        <v>80810.0</v>
      </c>
      <c r="E228" s="63" t="s">
        <v>979</v>
      </c>
      <c r="I228" s="63">
        <v>2.0</v>
      </c>
      <c r="O228" s="63">
        <v>7.0</v>
      </c>
      <c r="P228" s="63">
        <v>2.0</v>
      </c>
      <c r="R228" s="63">
        <v>9.0</v>
      </c>
      <c r="W228" s="64"/>
      <c r="AH228" s="63">
        <v>5.0</v>
      </c>
      <c r="AK228" s="63">
        <v>5.0</v>
      </c>
      <c r="AR228" s="63">
        <v>2.0</v>
      </c>
      <c r="AS228" s="63">
        <f t="shared" si="1"/>
        <v>2</v>
      </c>
      <c r="AT228" s="63">
        <f t="shared" si="2"/>
        <v>28</v>
      </c>
      <c r="AU228" s="63">
        <f t="shared" si="3"/>
        <v>0</v>
      </c>
      <c r="AV228" s="63">
        <f t="shared" si="4"/>
        <v>-26</v>
      </c>
      <c r="AW228" s="63">
        <f t="shared" si="5"/>
        <v>-26</v>
      </c>
      <c r="AX228" s="67">
        <f t="shared" si="6"/>
        <v>-0.0002499807707</v>
      </c>
      <c r="AY228" s="63">
        <v>104008.0</v>
      </c>
    </row>
    <row r="229" ht="15.75" customHeight="1">
      <c r="A229" s="63" t="s">
        <v>232</v>
      </c>
      <c r="B229" s="63" t="s">
        <v>233</v>
      </c>
      <c r="C229" s="63" t="s">
        <v>234</v>
      </c>
      <c r="D229" s="63">
        <v>80131.0</v>
      </c>
      <c r="E229" s="63" t="s">
        <v>235</v>
      </c>
      <c r="H229" s="63">
        <v>1.0</v>
      </c>
      <c r="I229" s="63">
        <v>4.0</v>
      </c>
      <c r="L229" s="63">
        <v>150.0</v>
      </c>
      <c r="N229" s="63">
        <v>140.0</v>
      </c>
      <c r="U229" s="63">
        <v>1.0</v>
      </c>
      <c r="W229" s="64">
        <v>10.0</v>
      </c>
      <c r="X229" s="63">
        <v>6.0</v>
      </c>
      <c r="AB229" s="63">
        <v>2.0</v>
      </c>
      <c r="AE229" s="63">
        <v>711.0</v>
      </c>
      <c r="AG229" s="63">
        <v>720.0</v>
      </c>
      <c r="AO229" s="63">
        <v>1.0</v>
      </c>
      <c r="AP229" s="63">
        <v>6.0</v>
      </c>
      <c r="AQ229" s="63">
        <v>10.0</v>
      </c>
      <c r="AR229" s="63">
        <v>12.0</v>
      </c>
      <c r="AS229" s="63">
        <f t="shared" si="1"/>
        <v>868</v>
      </c>
      <c r="AT229" s="63">
        <f t="shared" si="2"/>
        <v>862</v>
      </c>
      <c r="AU229" s="63">
        <f t="shared" si="3"/>
        <v>32</v>
      </c>
      <c r="AV229" s="63">
        <f t="shared" si="4"/>
        <v>6</v>
      </c>
      <c r="AW229" s="63">
        <f t="shared" si="5"/>
        <v>-26</v>
      </c>
      <c r="AX229" s="67">
        <f t="shared" si="6"/>
        <v>-0.0002499807707</v>
      </c>
      <c r="AY229" s="63">
        <v>104008.0</v>
      </c>
    </row>
    <row r="230" ht="15.75" customHeight="1">
      <c r="A230" s="63" t="s">
        <v>859</v>
      </c>
      <c r="B230" s="63" t="s">
        <v>860</v>
      </c>
      <c r="C230" s="63" t="s">
        <v>861</v>
      </c>
      <c r="D230" s="63">
        <v>80439.0</v>
      </c>
      <c r="E230" s="63" t="s">
        <v>239</v>
      </c>
      <c r="G230" s="63">
        <v>21.0</v>
      </c>
      <c r="I230" s="63">
        <v>5.0</v>
      </c>
      <c r="K230" s="63">
        <v>3.0</v>
      </c>
      <c r="L230" s="63">
        <v>130.0</v>
      </c>
      <c r="N230" s="63">
        <v>159.0</v>
      </c>
      <c r="S230" s="63">
        <v>2.0</v>
      </c>
      <c r="W230" s="64"/>
      <c r="X230" s="63">
        <v>32.0</v>
      </c>
      <c r="Z230" s="63">
        <v>10.0</v>
      </c>
      <c r="AE230" s="63">
        <v>44.0</v>
      </c>
      <c r="AF230" s="63">
        <v>27.0</v>
      </c>
      <c r="AG230" s="63">
        <v>70.0</v>
      </c>
      <c r="AI230" s="63">
        <v>1.0</v>
      </c>
      <c r="AQ230" s="63">
        <v>4.0</v>
      </c>
      <c r="AR230" s="63">
        <v>26.0</v>
      </c>
      <c r="AS230" s="63">
        <f t="shared" si="1"/>
        <v>240</v>
      </c>
      <c r="AT230" s="63">
        <f t="shared" si="2"/>
        <v>232</v>
      </c>
      <c r="AU230" s="63">
        <f t="shared" si="3"/>
        <v>36</v>
      </c>
      <c r="AV230" s="63">
        <f t="shared" si="4"/>
        <v>8</v>
      </c>
      <c r="AW230" s="63">
        <f t="shared" si="5"/>
        <v>-28</v>
      </c>
      <c r="AX230" s="67">
        <f t="shared" si="6"/>
        <v>-0.0002692100608</v>
      </c>
      <c r="AY230" s="63">
        <v>104008.0</v>
      </c>
    </row>
    <row r="231" ht="15.75" customHeight="1">
      <c r="A231" s="63" t="s">
        <v>552</v>
      </c>
      <c r="B231" s="63" t="s">
        <v>553</v>
      </c>
      <c r="C231" s="63" t="s">
        <v>554</v>
      </c>
      <c r="D231" s="63">
        <v>80439.0</v>
      </c>
      <c r="E231" s="63" t="s">
        <v>239</v>
      </c>
      <c r="G231" s="63">
        <v>21.0</v>
      </c>
      <c r="I231" s="63">
        <v>3.0</v>
      </c>
      <c r="K231" s="63">
        <v>113.0</v>
      </c>
      <c r="L231" s="63">
        <v>209.0</v>
      </c>
      <c r="N231" s="63">
        <v>280.0</v>
      </c>
      <c r="Q231" s="63">
        <v>2.0</v>
      </c>
      <c r="S231" s="63">
        <v>6.0</v>
      </c>
      <c r="W231" s="64"/>
      <c r="X231" s="63">
        <v>64.0</v>
      </c>
      <c r="Z231" s="63">
        <v>16.0</v>
      </c>
      <c r="AD231" s="63">
        <v>10.0</v>
      </c>
      <c r="AE231" s="63">
        <v>315.0</v>
      </c>
      <c r="AG231" s="63">
        <v>343.0</v>
      </c>
      <c r="AL231" s="63">
        <v>8.0</v>
      </c>
      <c r="AQ231" s="63">
        <v>14.0</v>
      </c>
      <c r="AR231" s="63">
        <v>6.0</v>
      </c>
      <c r="AS231" s="63">
        <f t="shared" si="1"/>
        <v>687</v>
      </c>
      <c r="AT231" s="63">
        <f t="shared" si="2"/>
        <v>639</v>
      </c>
      <c r="AU231" s="63">
        <f t="shared" si="3"/>
        <v>78</v>
      </c>
      <c r="AV231" s="63">
        <f t="shared" si="4"/>
        <v>48</v>
      </c>
      <c r="AW231" s="63">
        <f t="shared" si="5"/>
        <v>-30</v>
      </c>
      <c r="AX231" s="67">
        <f t="shared" si="6"/>
        <v>-0.0002884393508</v>
      </c>
      <c r="AY231" s="63">
        <v>104008.0</v>
      </c>
    </row>
    <row r="232" ht="15.75" customHeight="1">
      <c r="A232" s="63" t="s">
        <v>622</v>
      </c>
      <c r="B232" s="63" t="s">
        <v>623</v>
      </c>
      <c r="C232" s="63" t="s">
        <v>624</v>
      </c>
      <c r="D232" s="63">
        <v>80107.0</v>
      </c>
      <c r="E232" s="63" t="s">
        <v>313</v>
      </c>
      <c r="F232" s="63">
        <v>3.0</v>
      </c>
      <c r="H232" s="63">
        <v>32.0</v>
      </c>
      <c r="N232" s="63">
        <v>8.0</v>
      </c>
      <c r="O232" s="63">
        <v>24.0</v>
      </c>
      <c r="W232" s="64">
        <v>35.0</v>
      </c>
      <c r="AS232" s="63">
        <f t="shared" si="1"/>
        <v>35</v>
      </c>
      <c r="AT232" s="63">
        <f t="shared" si="2"/>
        <v>32</v>
      </c>
      <c r="AU232" s="63">
        <f t="shared" si="3"/>
        <v>35</v>
      </c>
      <c r="AV232" s="63">
        <f t="shared" si="4"/>
        <v>3</v>
      </c>
      <c r="AW232" s="63">
        <f t="shared" si="5"/>
        <v>-32</v>
      </c>
      <c r="AX232" s="67">
        <f t="shared" si="6"/>
        <v>-0.0003076686409</v>
      </c>
      <c r="AY232" s="63">
        <v>104008.0</v>
      </c>
    </row>
    <row r="233" ht="15.75" customHeight="1">
      <c r="A233" s="63" t="s">
        <v>1023</v>
      </c>
      <c r="B233" s="63" t="s">
        <v>1024</v>
      </c>
      <c r="C233" s="63" t="s">
        <v>1025</v>
      </c>
      <c r="D233" s="63">
        <v>81144.0</v>
      </c>
      <c r="E233" s="63" t="s">
        <v>1026</v>
      </c>
      <c r="F233" s="63">
        <v>27.0</v>
      </c>
      <c r="H233" s="63">
        <v>305.0</v>
      </c>
      <c r="I233" s="63">
        <v>61.0</v>
      </c>
      <c r="N233" s="63">
        <v>153.0</v>
      </c>
      <c r="O233" s="63">
        <v>78.0</v>
      </c>
      <c r="P233" s="63">
        <v>67.0</v>
      </c>
      <c r="S233" s="63">
        <v>1.0</v>
      </c>
      <c r="W233" s="64">
        <v>32.0</v>
      </c>
      <c r="X233" s="63">
        <v>15.0</v>
      </c>
      <c r="AA233" s="63">
        <v>63.0</v>
      </c>
      <c r="AB233" s="63">
        <v>2.0</v>
      </c>
      <c r="AG233" s="63">
        <v>46.0</v>
      </c>
      <c r="AH233" s="63">
        <v>14.0</v>
      </c>
      <c r="AI233" s="63">
        <v>10.0</v>
      </c>
      <c r="AL233" s="63">
        <v>2.0</v>
      </c>
      <c r="AP233" s="63">
        <v>72.0</v>
      </c>
      <c r="AR233" s="63">
        <v>5.0</v>
      </c>
      <c r="AS233" s="63">
        <f t="shared" si="1"/>
        <v>458</v>
      </c>
      <c r="AT233" s="63">
        <f t="shared" si="2"/>
        <v>371</v>
      </c>
      <c r="AU233" s="63">
        <f t="shared" si="3"/>
        <v>119</v>
      </c>
      <c r="AV233" s="63">
        <f t="shared" si="4"/>
        <v>87</v>
      </c>
      <c r="AW233" s="63">
        <f t="shared" si="5"/>
        <v>-32</v>
      </c>
      <c r="AX233" s="67">
        <f t="shared" si="6"/>
        <v>-0.0003076686409</v>
      </c>
      <c r="AY233" s="63">
        <v>104008.0</v>
      </c>
    </row>
    <row r="234" ht="15.75" customHeight="1">
      <c r="A234" s="63" t="s">
        <v>889</v>
      </c>
      <c r="B234" s="63" t="s">
        <v>890</v>
      </c>
      <c r="C234" s="63" t="s">
        <v>891</v>
      </c>
      <c r="D234" s="63">
        <v>80134.0</v>
      </c>
      <c r="E234" s="63" t="s">
        <v>235</v>
      </c>
      <c r="F234" s="63">
        <v>1.0</v>
      </c>
      <c r="G234" s="63">
        <v>1.0</v>
      </c>
      <c r="I234" s="63">
        <v>36.0</v>
      </c>
      <c r="K234" s="63">
        <v>5.0</v>
      </c>
      <c r="N234" s="63">
        <v>41.0</v>
      </c>
      <c r="W234" s="64">
        <v>41.0</v>
      </c>
      <c r="X234" s="63">
        <v>1.0</v>
      </c>
      <c r="AS234" s="63">
        <f t="shared" si="1"/>
        <v>43</v>
      </c>
      <c r="AT234" s="63">
        <f t="shared" si="2"/>
        <v>41</v>
      </c>
      <c r="AU234" s="63">
        <f t="shared" si="3"/>
        <v>42</v>
      </c>
      <c r="AV234" s="63">
        <f t="shared" si="4"/>
        <v>2</v>
      </c>
      <c r="AW234" s="63">
        <f t="shared" si="5"/>
        <v>-40</v>
      </c>
      <c r="AX234" s="67">
        <f t="shared" si="6"/>
        <v>-0.0003845858011</v>
      </c>
      <c r="AY234" s="63">
        <v>104008.0</v>
      </c>
    </row>
    <row r="235" ht="15.75" customHeight="1">
      <c r="A235" s="63" t="s">
        <v>753</v>
      </c>
      <c r="B235" s="63" t="s">
        <v>754</v>
      </c>
      <c r="C235" s="63" t="s">
        <v>755</v>
      </c>
      <c r="D235" s="63">
        <v>80204.0</v>
      </c>
      <c r="E235" s="63" t="s">
        <v>421</v>
      </c>
      <c r="F235" s="63">
        <v>79.0</v>
      </c>
      <c r="G235" s="63">
        <v>25.0</v>
      </c>
      <c r="H235" s="63">
        <v>181.0</v>
      </c>
      <c r="I235" s="63">
        <v>238.0</v>
      </c>
      <c r="K235" s="63">
        <v>23.0</v>
      </c>
      <c r="L235" s="63">
        <v>102.0</v>
      </c>
      <c r="M235" s="63">
        <v>92.0</v>
      </c>
      <c r="N235" s="63">
        <v>666.0</v>
      </c>
      <c r="O235" s="63">
        <v>50.0</v>
      </c>
      <c r="P235" s="63">
        <v>2.0</v>
      </c>
      <c r="Q235" s="63">
        <v>1.0</v>
      </c>
      <c r="S235" s="63">
        <v>17.0</v>
      </c>
      <c r="W235" s="64">
        <v>52.0</v>
      </c>
      <c r="X235" s="63">
        <v>16.0</v>
      </c>
      <c r="Y235" s="63">
        <v>11.0</v>
      </c>
      <c r="AA235" s="63">
        <v>31.0</v>
      </c>
      <c r="AB235" s="63">
        <v>42.0</v>
      </c>
      <c r="AD235" s="63">
        <v>6.0</v>
      </c>
      <c r="AE235" s="63">
        <v>36.0</v>
      </c>
      <c r="AF235" s="63">
        <v>1.0</v>
      </c>
      <c r="AG235" s="63">
        <v>88.0</v>
      </c>
      <c r="AH235" s="63">
        <v>1.0</v>
      </c>
      <c r="AL235" s="63">
        <v>6.0</v>
      </c>
      <c r="AP235" s="63">
        <v>4.0</v>
      </c>
      <c r="AQ235" s="63">
        <v>5.0</v>
      </c>
      <c r="AR235" s="63">
        <v>30.9</v>
      </c>
      <c r="AS235" s="63">
        <f t="shared" si="1"/>
        <v>867</v>
      </c>
      <c r="AT235" s="63">
        <f t="shared" si="2"/>
        <v>831</v>
      </c>
      <c r="AU235" s="63">
        <f t="shared" si="3"/>
        <v>77</v>
      </c>
      <c r="AV235" s="63">
        <f t="shared" si="4"/>
        <v>36</v>
      </c>
      <c r="AW235" s="63">
        <f t="shared" si="5"/>
        <v>-41</v>
      </c>
      <c r="AX235" s="67">
        <f t="shared" si="6"/>
        <v>-0.0003942004461</v>
      </c>
      <c r="AY235" s="63">
        <v>104008.0</v>
      </c>
    </row>
    <row r="236" ht="15.75" customHeight="1">
      <c r="A236" s="63" t="s">
        <v>813</v>
      </c>
      <c r="B236" s="63" t="s">
        <v>814</v>
      </c>
      <c r="C236" s="63" t="s">
        <v>815</v>
      </c>
      <c r="D236" s="63">
        <v>81224.0</v>
      </c>
      <c r="E236" s="63" t="s">
        <v>384</v>
      </c>
      <c r="G236" s="63">
        <v>1.0</v>
      </c>
      <c r="H236" s="63">
        <v>38.0</v>
      </c>
      <c r="I236" s="63">
        <v>1.0</v>
      </c>
      <c r="L236" s="63">
        <v>4.0</v>
      </c>
      <c r="N236" s="63">
        <v>5.0</v>
      </c>
      <c r="O236" s="63">
        <v>38.0</v>
      </c>
      <c r="R236" s="63">
        <v>1.0</v>
      </c>
      <c r="W236" s="64">
        <v>43.0</v>
      </c>
      <c r="X236" s="63">
        <v>1.0</v>
      </c>
      <c r="AS236" s="63">
        <f t="shared" si="1"/>
        <v>44</v>
      </c>
      <c r="AT236" s="63">
        <f t="shared" si="2"/>
        <v>44</v>
      </c>
      <c r="AU236" s="63">
        <f t="shared" si="3"/>
        <v>44</v>
      </c>
      <c r="AV236" s="63">
        <f t="shared" si="4"/>
        <v>0</v>
      </c>
      <c r="AW236" s="63">
        <f t="shared" si="5"/>
        <v>-44</v>
      </c>
      <c r="AX236" s="67">
        <f t="shared" si="6"/>
        <v>-0.0004230443812</v>
      </c>
      <c r="AY236" s="63">
        <v>104008.0</v>
      </c>
    </row>
    <row r="237" ht="15.75" customHeight="1">
      <c r="A237" s="63" t="s">
        <v>847</v>
      </c>
      <c r="B237" s="63" t="s">
        <v>848</v>
      </c>
      <c r="C237" s="63" t="s">
        <v>849</v>
      </c>
      <c r="D237" s="63">
        <v>80651.0</v>
      </c>
      <c r="E237" s="63" t="s">
        <v>258</v>
      </c>
      <c r="H237" s="63">
        <v>40.0</v>
      </c>
      <c r="O237" s="63">
        <v>28.0</v>
      </c>
      <c r="P237" s="63">
        <v>12.0</v>
      </c>
      <c r="W237" s="64">
        <v>41.0</v>
      </c>
      <c r="AA237" s="63">
        <v>9.0</v>
      </c>
      <c r="AH237" s="63">
        <v>7.0</v>
      </c>
      <c r="AI237" s="63">
        <v>2.0</v>
      </c>
      <c r="AP237" s="63">
        <v>9.0</v>
      </c>
      <c r="AR237" s="63">
        <v>1.0</v>
      </c>
      <c r="AS237" s="63">
        <f t="shared" si="1"/>
        <v>49</v>
      </c>
      <c r="AT237" s="63">
        <f t="shared" si="2"/>
        <v>49</v>
      </c>
      <c r="AU237" s="63">
        <f t="shared" si="3"/>
        <v>50</v>
      </c>
      <c r="AV237" s="63">
        <f t="shared" si="4"/>
        <v>0</v>
      </c>
      <c r="AW237" s="63">
        <f t="shared" si="5"/>
        <v>-50</v>
      </c>
      <c r="AX237" s="67">
        <f t="shared" si="6"/>
        <v>-0.0004807322514</v>
      </c>
      <c r="AY237" s="63">
        <v>104008.0</v>
      </c>
    </row>
    <row r="238" ht="15.75" customHeight="1">
      <c r="A238" s="63" t="s">
        <v>490</v>
      </c>
      <c r="B238" s="63" t="s">
        <v>491</v>
      </c>
      <c r="C238" s="63" t="s">
        <v>492</v>
      </c>
      <c r="D238" s="63">
        <v>80526.0</v>
      </c>
      <c r="E238" s="63" t="s">
        <v>275</v>
      </c>
      <c r="G238" s="63">
        <v>15.0</v>
      </c>
      <c r="I238" s="63">
        <v>3.0</v>
      </c>
      <c r="K238" s="63">
        <v>10.0</v>
      </c>
      <c r="L238" s="63">
        <v>10.0</v>
      </c>
      <c r="N238" s="63">
        <v>73.0</v>
      </c>
      <c r="S238" s="63">
        <v>1.0</v>
      </c>
      <c r="W238" s="64"/>
      <c r="X238" s="63">
        <v>19.0</v>
      </c>
      <c r="AE238" s="63">
        <v>10.0</v>
      </c>
      <c r="AG238" s="63">
        <v>10.0</v>
      </c>
      <c r="AR238" s="63">
        <v>21.0</v>
      </c>
      <c r="AS238" s="63">
        <f t="shared" si="1"/>
        <v>48</v>
      </c>
      <c r="AT238" s="63">
        <f t="shared" si="2"/>
        <v>84</v>
      </c>
      <c r="AU238" s="63">
        <f t="shared" si="3"/>
        <v>19</v>
      </c>
      <c r="AV238" s="63">
        <f t="shared" si="4"/>
        <v>-36</v>
      </c>
      <c r="AW238" s="63">
        <f t="shared" si="5"/>
        <v>-55</v>
      </c>
      <c r="AX238" s="67">
        <f t="shared" si="6"/>
        <v>-0.0005288054765</v>
      </c>
      <c r="AY238" s="63">
        <v>104008.0</v>
      </c>
    </row>
    <row r="239" ht="15.75" customHeight="1">
      <c r="A239" s="63" t="s">
        <v>972</v>
      </c>
      <c r="B239" s="63" t="s">
        <v>973</v>
      </c>
      <c r="C239" s="63" t="s">
        <v>974</v>
      </c>
      <c r="D239" s="63">
        <v>80720.0</v>
      </c>
      <c r="E239" s="63" t="s">
        <v>975</v>
      </c>
      <c r="H239" s="63">
        <v>38.0</v>
      </c>
      <c r="I239" s="63">
        <v>6.0</v>
      </c>
      <c r="K239" s="63">
        <v>2.0</v>
      </c>
      <c r="M239" s="63">
        <v>7.0</v>
      </c>
      <c r="N239" s="63">
        <v>2.0</v>
      </c>
      <c r="O239" s="63">
        <v>39.0</v>
      </c>
      <c r="P239" s="63">
        <v>8.0</v>
      </c>
      <c r="T239" s="63">
        <v>3.0</v>
      </c>
      <c r="U239" s="63">
        <v>1.0</v>
      </c>
      <c r="W239" s="64">
        <v>53.0</v>
      </c>
      <c r="AA239" s="63">
        <v>2.0</v>
      </c>
      <c r="AH239" s="63">
        <v>2.0</v>
      </c>
      <c r="AP239" s="63">
        <v>2.0</v>
      </c>
      <c r="AR239" s="63">
        <v>1.0</v>
      </c>
      <c r="AS239" s="63">
        <f t="shared" si="1"/>
        <v>55</v>
      </c>
      <c r="AT239" s="63">
        <f t="shared" si="2"/>
        <v>55</v>
      </c>
      <c r="AU239" s="63">
        <f t="shared" si="3"/>
        <v>55</v>
      </c>
      <c r="AV239" s="63">
        <f t="shared" si="4"/>
        <v>0</v>
      </c>
      <c r="AW239" s="63">
        <f t="shared" si="5"/>
        <v>-55</v>
      </c>
      <c r="AX239" s="67">
        <f t="shared" si="6"/>
        <v>-0.0005288054765</v>
      </c>
      <c r="AY239" s="63">
        <v>104008.0</v>
      </c>
    </row>
    <row r="240" ht="15.75" customHeight="1">
      <c r="A240" s="63" t="s">
        <v>435</v>
      </c>
      <c r="B240" s="63" t="s">
        <v>436</v>
      </c>
      <c r="C240" s="63" t="s">
        <v>437</v>
      </c>
      <c r="D240" s="63">
        <v>80113.0</v>
      </c>
      <c r="E240" s="63" t="s">
        <v>350</v>
      </c>
      <c r="G240" s="63">
        <v>9.0</v>
      </c>
      <c r="I240" s="63">
        <v>8.0</v>
      </c>
      <c r="K240" s="63">
        <v>18.0</v>
      </c>
      <c r="L240" s="63">
        <v>82.0</v>
      </c>
      <c r="M240" s="63">
        <v>10.0</v>
      </c>
      <c r="N240" s="63">
        <v>156.0</v>
      </c>
      <c r="P240" s="63">
        <v>1.0</v>
      </c>
      <c r="Q240" s="63">
        <v>1.0</v>
      </c>
      <c r="S240" s="63">
        <v>1.0</v>
      </c>
      <c r="U240" s="63">
        <v>2.0</v>
      </c>
      <c r="W240" s="64"/>
      <c r="X240" s="63">
        <v>30.0</v>
      </c>
      <c r="Z240" s="63">
        <v>13.0</v>
      </c>
      <c r="AB240" s="63">
        <v>1.0</v>
      </c>
      <c r="AD240" s="63">
        <v>37.0</v>
      </c>
      <c r="AE240" s="63">
        <v>63.0</v>
      </c>
      <c r="AG240" s="63">
        <v>100.0</v>
      </c>
      <c r="AQ240" s="63">
        <v>8.0</v>
      </c>
      <c r="AR240" s="63">
        <v>41.0</v>
      </c>
      <c r="AS240" s="63">
        <f t="shared" si="1"/>
        <v>241</v>
      </c>
      <c r="AT240" s="63">
        <f t="shared" si="2"/>
        <v>261</v>
      </c>
      <c r="AU240" s="63">
        <f t="shared" si="3"/>
        <v>38</v>
      </c>
      <c r="AV240" s="63">
        <f t="shared" si="4"/>
        <v>-20</v>
      </c>
      <c r="AW240" s="63">
        <f t="shared" si="5"/>
        <v>-58</v>
      </c>
      <c r="AX240" s="67">
        <f t="shared" si="6"/>
        <v>-0.0005576494116</v>
      </c>
      <c r="AY240" s="63">
        <v>104008.0</v>
      </c>
    </row>
    <row r="241" ht="15.75" customHeight="1">
      <c r="A241" s="63" t="s">
        <v>330</v>
      </c>
      <c r="B241" s="63" t="s">
        <v>331</v>
      </c>
      <c r="C241" s="63" t="s">
        <v>332</v>
      </c>
      <c r="D241" s="63">
        <v>81024.0</v>
      </c>
      <c r="E241" s="63" t="s">
        <v>333</v>
      </c>
      <c r="F241" s="63">
        <v>53.0</v>
      </c>
      <c r="G241" s="63">
        <v>20.0</v>
      </c>
      <c r="K241" s="63">
        <v>60.0</v>
      </c>
      <c r="L241" s="63">
        <v>247.0</v>
      </c>
      <c r="N241" s="63">
        <v>376.0</v>
      </c>
      <c r="S241" s="63">
        <v>8.0</v>
      </c>
      <c r="W241" s="64">
        <v>37.0</v>
      </c>
      <c r="X241" s="63">
        <v>20.0</v>
      </c>
      <c r="AS241" s="63">
        <f t="shared" si="1"/>
        <v>380</v>
      </c>
      <c r="AT241" s="63">
        <f t="shared" si="2"/>
        <v>384</v>
      </c>
      <c r="AU241" s="63">
        <f t="shared" si="3"/>
        <v>57</v>
      </c>
      <c r="AV241" s="63">
        <f t="shared" si="4"/>
        <v>-4</v>
      </c>
      <c r="AW241" s="63">
        <f t="shared" si="5"/>
        <v>-61</v>
      </c>
      <c r="AX241" s="67">
        <f t="shared" si="6"/>
        <v>-0.0005864933467</v>
      </c>
      <c r="AY241" s="63">
        <v>104008.0</v>
      </c>
    </row>
    <row r="242" ht="15.75" customHeight="1">
      <c r="A242" s="63" t="s">
        <v>862</v>
      </c>
      <c r="B242" s="63" t="s">
        <v>863</v>
      </c>
      <c r="C242" s="63" t="s">
        <v>864</v>
      </c>
      <c r="D242" s="63">
        <v>81428.0</v>
      </c>
      <c r="E242" s="63" t="s">
        <v>323</v>
      </c>
      <c r="F242" s="63">
        <v>5.0</v>
      </c>
      <c r="G242" s="63">
        <v>5.0</v>
      </c>
      <c r="H242" s="63">
        <v>3.0</v>
      </c>
      <c r="L242" s="63">
        <v>65.0</v>
      </c>
      <c r="N242" s="63">
        <v>60.0</v>
      </c>
      <c r="P242" s="63">
        <v>42.0</v>
      </c>
      <c r="Q242" s="63">
        <v>1.0</v>
      </c>
      <c r="S242" s="63">
        <v>1.0</v>
      </c>
      <c r="W242" s="64">
        <v>5.0</v>
      </c>
      <c r="X242" s="63">
        <v>8.0</v>
      </c>
      <c r="Y242" s="63">
        <v>7.0</v>
      </c>
      <c r="Z242" s="63">
        <v>7.0</v>
      </c>
      <c r="AB242" s="63">
        <v>15.0</v>
      </c>
      <c r="AE242" s="63">
        <v>460.0</v>
      </c>
      <c r="AG242" s="63">
        <v>413.0</v>
      </c>
      <c r="AI242" s="63">
        <v>34.0</v>
      </c>
      <c r="AL242" s="63">
        <v>4.0</v>
      </c>
      <c r="AP242" s="63">
        <v>31.0</v>
      </c>
      <c r="AQ242" s="63">
        <v>31.0</v>
      </c>
      <c r="AR242" s="63">
        <v>21.0</v>
      </c>
      <c r="AS242" s="63">
        <f t="shared" si="1"/>
        <v>567</v>
      </c>
      <c r="AT242" s="63">
        <f t="shared" si="2"/>
        <v>555</v>
      </c>
      <c r="AU242" s="63">
        <f t="shared" si="3"/>
        <v>75</v>
      </c>
      <c r="AV242" s="63">
        <f t="shared" si="4"/>
        <v>12</v>
      </c>
      <c r="AW242" s="63">
        <f t="shared" si="5"/>
        <v>-63</v>
      </c>
      <c r="AX242" s="67">
        <f t="shared" si="6"/>
        <v>-0.0006057226367</v>
      </c>
      <c r="AY242" s="63">
        <v>104008.0</v>
      </c>
    </row>
    <row r="243" ht="15.75" customHeight="1">
      <c r="A243" s="63" t="s">
        <v>292</v>
      </c>
      <c r="B243" s="63" t="s">
        <v>293</v>
      </c>
      <c r="C243" s="63" t="s">
        <v>294</v>
      </c>
      <c r="D243" s="63">
        <v>81211.0</v>
      </c>
      <c r="E243" s="63" t="s">
        <v>291</v>
      </c>
      <c r="F243" s="63">
        <v>14.0</v>
      </c>
      <c r="G243" s="63">
        <v>2.0</v>
      </c>
      <c r="H243" s="63">
        <v>135.0</v>
      </c>
      <c r="I243" s="63">
        <v>48.0</v>
      </c>
      <c r="K243" s="63">
        <v>19.0</v>
      </c>
      <c r="M243" s="63">
        <v>24.0</v>
      </c>
      <c r="N243" s="63">
        <v>178.0</v>
      </c>
      <c r="O243" s="63">
        <v>109.0</v>
      </c>
      <c r="P243" s="63">
        <v>2.0</v>
      </c>
      <c r="S243" s="63">
        <v>3.0</v>
      </c>
      <c r="U243" s="63">
        <v>6.0</v>
      </c>
      <c r="W243" s="64">
        <v>8.0</v>
      </c>
      <c r="X243" s="63">
        <v>2.0</v>
      </c>
      <c r="Y243" s="63">
        <v>3.0</v>
      </c>
      <c r="AA243" s="63">
        <v>1.0</v>
      </c>
      <c r="AB243" s="63">
        <v>12.0</v>
      </c>
      <c r="AD243" s="63">
        <v>10.0</v>
      </c>
      <c r="AG243" s="63">
        <v>29.0</v>
      </c>
      <c r="AL243" s="63">
        <v>1.0</v>
      </c>
      <c r="AM243" s="63">
        <v>1.0</v>
      </c>
      <c r="AN243" s="63">
        <v>1.0</v>
      </c>
      <c r="AR243" s="63">
        <v>49.2</v>
      </c>
      <c r="AS243" s="63">
        <f t="shared" si="1"/>
        <v>268</v>
      </c>
      <c r="AT243" s="63">
        <f t="shared" si="2"/>
        <v>330</v>
      </c>
      <c r="AU243" s="63">
        <f t="shared" si="3"/>
        <v>10</v>
      </c>
      <c r="AV243" s="63">
        <f t="shared" si="4"/>
        <v>-62</v>
      </c>
      <c r="AW243" s="63">
        <f t="shared" si="5"/>
        <v>-72</v>
      </c>
      <c r="AX243" s="67">
        <f t="shared" si="6"/>
        <v>-0.000692254442</v>
      </c>
      <c r="AY243" s="63">
        <v>104008.0</v>
      </c>
    </row>
    <row r="244" ht="15.75" customHeight="1">
      <c r="A244" s="63" t="s">
        <v>1012</v>
      </c>
      <c r="B244" s="63" t="s">
        <v>1013</v>
      </c>
      <c r="C244" s="63" t="s">
        <v>1014</v>
      </c>
      <c r="D244" s="63" t="s">
        <v>520</v>
      </c>
      <c r="E244" s="63" t="s">
        <v>1015</v>
      </c>
      <c r="F244" s="63">
        <v>1.0</v>
      </c>
      <c r="H244" s="63">
        <v>73.0</v>
      </c>
      <c r="I244" s="63">
        <v>1.0</v>
      </c>
      <c r="J244" s="63">
        <v>1.0</v>
      </c>
      <c r="N244" s="63">
        <v>3.0</v>
      </c>
      <c r="O244" s="63">
        <v>67.0</v>
      </c>
      <c r="U244" s="63">
        <v>2.0</v>
      </c>
      <c r="V244" s="63">
        <v>1.0</v>
      </c>
      <c r="W244" s="64">
        <v>75.0</v>
      </c>
      <c r="AS244" s="63">
        <f t="shared" si="1"/>
        <v>76</v>
      </c>
      <c r="AT244" s="63">
        <f t="shared" si="2"/>
        <v>73</v>
      </c>
      <c r="AU244" s="63">
        <f t="shared" si="3"/>
        <v>75</v>
      </c>
      <c r="AV244" s="63">
        <f t="shared" si="4"/>
        <v>3</v>
      </c>
      <c r="AW244" s="63">
        <f t="shared" si="5"/>
        <v>-72</v>
      </c>
      <c r="AX244" s="67">
        <f t="shared" si="6"/>
        <v>-0.000692254442</v>
      </c>
      <c r="AY244" s="63">
        <v>104008.0</v>
      </c>
    </row>
    <row r="245" ht="15.75" customHeight="1">
      <c r="A245" s="63" t="s">
        <v>483</v>
      </c>
      <c r="B245" s="63" t="s">
        <v>484</v>
      </c>
      <c r="C245" s="63" t="s">
        <v>485</v>
      </c>
      <c r="D245" s="63">
        <v>80421.0</v>
      </c>
      <c r="E245" s="63" t="s">
        <v>486</v>
      </c>
      <c r="F245" s="63">
        <v>77.0</v>
      </c>
      <c r="H245" s="63">
        <v>77.0</v>
      </c>
      <c r="O245" s="63">
        <v>66.0</v>
      </c>
      <c r="P245" s="63">
        <v>8.0</v>
      </c>
      <c r="R245" s="63">
        <v>77.0</v>
      </c>
      <c r="S245" s="63">
        <v>1.0</v>
      </c>
      <c r="U245" s="63">
        <v>1.0</v>
      </c>
      <c r="V245" s="63">
        <v>1.0</v>
      </c>
      <c r="W245" s="64">
        <v>77.0</v>
      </c>
      <c r="Y245" s="63">
        <v>1.0</v>
      </c>
      <c r="AA245" s="63">
        <v>1.0</v>
      </c>
      <c r="AL245" s="63">
        <v>1.0</v>
      </c>
      <c r="AP245" s="63">
        <v>1.0</v>
      </c>
      <c r="AS245" s="63">
        <f t="shared" si="1"/>
        <v>156</v>
      </c>
      <c r="AT245" s="63">
        <f t="shared" si="2"/>
        <v>155</v>
      </c>
      <c r="AU245" s="63">
        <f t="shared" si="3"/>
        <v>78</v>
      </c>
      <c r="AV245" s="63">
        <f t="shared" si="4"/>
        <v>1</v>
      </c>
      <c r="AW245" s="63">
        <f t="shared" si="5"/>
        <v>-77</v>
      </c>
      <c r="AX245" s="67">
        <f t="shared" si="6"/>
        <v>-0.0007403276671</v>
      </c>
      <c r="AY245" s="63">
        <v>104008.0</v>
      </c>
    </row>
    <row r="246" ht="15.75" customHeight="1">
      <c r="A246" s="63" t="s">
        <v>324</v>
      </c>
      <c r="B246" s="63" t="s">
        <v>325</v>
      </c>
      <c r="C246" s="63" t="s">
        <v>326</v>
      </c>
      <c r="D246" s="63">
        <v>80864.0</v>
      </c>
      <c r="E246" s="63" t="s">
        <v>243</v>
      </c>
      <c r="I246" s="63">
        <v>6.0</v>
      </c>
      <c r="L246" s="63">
        <v>6.0</v>
      </c>
      <c r="N246" s="63">
        <v>15.0</v>
      </c>
      <c r="S246" s="63">
        <v>4.0</v>
      </c>
      <c r="U246" s="63">
        <v>10.0</v>
      </c>
      <c r="W246" s="64">
        <v>91.0</v>
      </c>
      <c r="AS246" s="63">
        <f t="shared" si="1"/>
        <v>12</v>
      </c>
      <c r="AT246" s="63">
        <f t="shared" si="2"/>
        <v>29</v>
      </c>
      <c r="AU246" s="63">
        <f t="shared" si="3"/>
        <v>91</v>
      </c>
      <c r="AV246" s="63">
        <f t="shared" si="4"/>
        <v>-17</v>
      </c>
      <c r="AW246" s="63">
        <f t="shared" si="5"/>
        <v>-108</v>
      </c>
      <c r="AX246" s="67">
        <f t="shared" si="6"/>
        <v>-0.001038381663</v>
      </c>
      <c r="AY246" s="63">
        <v>104008.0</v>
      </c>
    </row>
    <row r="247" ht="15.75" customHeight="1">
      <c r="A247" s="63" t="s">
        <v>272</v>
      </c>
      <c r="B247" s="63" t="s">
        <v>273</v>
      </c>
      <c r="C247" s="63" t="s">
        <v>274</v>
      </c>
      <c r="D247" s="63">
        <v>80521.0</v>
      </c>
      <c r="E247" s="63" t="s">
        <v>275</v>
      </c>
      <c r="F247" s="63">
        <v>18.0</v>
      </c>
      <c r="G247" s="63">
        <v>20.0</v>
      </c>
      <c r="H247" s="63">
        <v>2.0</v>
      </c>
      <c r="I247" s="63">
        <v>2.0</v>
      </c>
      <c r="K247" s="63">
        <v>146.0</v>
      </c>
      <c r="L247" s="63">
        <v>342.0</v>
      </c>
      <c r="N247" s="63">
        <v>593.0</v>
      </c>
      <c r="P247" s="63">
        <v>2.0</v>
      </c>
      <c r="Q247" s="63">
        <v>3.0</v>
      </c>
      <c r="U247" s="63">
        <v>2.0</v>
      </c>
      <c r="W247" s="64">
        <v>14.0</v>
      </c>
      <c r="X247" s="63">
        <v>24.0</v>
      </c>
      <c r="Z247" s="63">
        <v>1.0</v>
      </c>
      <c r="AD247" s="63">
        <v>59.0</v>
      </c>
      <c r="AE247" s="63">
        <v>130.0</v>
      </c>
      <c r="AG247" s="63">
        <v>190.0</v>
      </c>
      <c r="AL247" s="63">
        <v>2.0</v>
      </c>
      <c r="AQ247" s="63">
        <v>3.0</v>
      </c>
      <c r="AR247" s="63">
        <v>14.3</v>
      </c>
      <c r="AS247" s="63">
        <f t="shared" si="1"/>
        <v>720</v>
      </c>
      <c r="AT247" s="63">
        <f t="shared" si="2"/>
        <v>792</v>
      </c>
      <c r="AU247" s="63">
        <f t="shared" si="3"/>
        <v>41</v>
      </c>
      <c r="AV247" s="63">
        <f t="shared" si="4"/>
        <v>-72</v>
      </c>
      <c r="AW247" s="63">
        <f t="shared" si="5"/>
        <v>-113</v>
      </c>
      <c r="AX247" s="67">
        <f t="shared" si="6"/>
        <v>-0.001086454888</v>
      </c>
      <c r="AY247" s="63">
        <v>104008.0</v>
      </c>
    </row>
    <row r="248" ht="15.75" customHeight="1">
      <c r="A248" s="63" t="s">
        <v>732</v>
      </c>
      <c r="B248" s="63" t="s">
        <v>733</v>
      </c>
      <c r="C248" s="63" t="s">
        <v>734</v>
      </c>
      <c r="D248" s="63">
        <v>80501.0</v>
      </c>
      <c r="E248" s="63" t="s">
        <v>279</v>
      </c>
      <c r="F248" s="63">
        <v>78.0</v>
      </c>
      <c r="G248" s="63">
        <v>11.0</v>
      </c>
      <c r="H248" s="63">
        <v>949.0</v>
      </c>
      <c r="I248" s="63">
        <v>466.0</v>
      </c>
      <c r="K248" s="63">
        <v>103.0</v>
      </c>
      <c r="L248" s="63">
        <v>384.0</v>
      </c>
      <c r="M248" s="63">
        <v>15.0</v>
      </c>
      <c r="N248" s="63">
        <v>1318.0</v>
      </c>
      <c r="O248" s="63">
        <v>586.0</v>
      </c>
      <c r="P248" s="63">
        <v>31.0</v>
      </c>
      <c r="Q248" s="63">
        <v>11.0</v>
      </c>
      <c r="S248" s="63">
        <v>3.0</v>
      </c>
      <c r="U248" s="63">
        <v>71.0</v>
      </c>
      <c r="W248" s="64">
        <v>67.0</v>
      </c>
      <c r="X248" s="63">
        <v>11.0</v>
      </c>
      <c r="Y248" s="63">
        <v>19.0</v>
      </c>
      <c r="Z248" s="63">
        <v>7.0</v>
      </c>
      <c r="AA248" s="63">
        <v>2.0</v>
      </c>
      <c r="AB248" s="63">
        <v>1.0</v>
      </c>
      <c r="AD248" s="63">
        <v>55.0</v>
      </c>
      <c r="AE248" s="63">
        <v>106.0</v>
      </c>
      <c r="AG248" s="63">
        <v>216.0</v>
      </c>
      <c r="AH248" s="63">
        <v>18.0</v>
      </c>
      <c r="AP248" s="63">
        <v>7.0</v>
      </c>
      <c r="AQ248" s="63">
        <v>12.0</v>
      </c>
      <c r="AR248" s="63">
        <v>6.0</v>
      </c>
      <c r="AS248" s="63">
        <f t="shared" si="1"/>
        <v>2196</v>
      </c>
      <c r="AT248" s="63">
        <f t="shared" si="2"/>
        <v>2254</v>
      </c>
      <c r="AU248" s="63">
        <f t="shared" si="3"/>
        <v>97</v>
      </c>
      <c r="AV248" s="63">
        <f t="shared" si="4"/>
        <v>-58</v>
      </c>
      <c r="AW248" s="63">
        <f t="shared" si="5"/>
        <v>-155</v>
      </c>
      <c r="AX248" s="67">
        <f t="shared" si="6"/>
        <v>-0.001490269979</v>
      </c>
      <c r="AY248" s="63">
        <v>104008.0</v>
      </c>
    </row>
    <row r="249" ht="15.75" customHeight="1">
      <c r="A249" s="63" t="s">
        <v>373</v>
      </c>
      <c r="B249" s="63" t="s">
        <v>374</v>
      </c>
      <c r="C249" s="63" t="s">
        <v>375</v>
      </c>
      <c r="D249" s="63">
        <v>80807.0</v>
      </c>
      <c r="E249" s="63" t="s">
        <v>376</v>
      </c>
      <c r="H249" s="63">
        <v>19.0</v>
      </c>
      <c r="J249" s="63">
        <v>3.0</v>
      </c>
      <c r="K249" s="63">
        <v>8.0</v>
      </c>
      <c r="N249" s="63">
        <v>19.0</v>
      </c>
      <c r="O249" s="63">
        <v>66.0</v>
      </c>
      <c r="P249" s="63">
        <v>8.0</v>
      </c>
      <c r="S249" s="63">
        <v>1.0</v>
      </c>
      <c r="V249" s="63">
        <v>2.0</v>
      </c>
      <c r="W249" s="64">
        <v>96.0</v>
      </c>
      <c r="AS249" s="63">
        <f t="shared" si="1"/>
        <v>30</v>
      </c>
      <c r="AT249" s="63">
        <f t="shared" si="2"/>
        <v>96</v>
      </c>
      <c r="AU249" s="63">
        <f t="shared" si="3"/>
        <v>96</v>
      </c>
      <c r="AV249" s="63">
        <f t="shared" si="4"/>
        <v>-66</v>
      </c>
      <c r="AW249" s="63">
        <f t="shared" si="5"/>
        <v>-162</v>
      </c>
      <c r="AX249" s="67">
        <f t="shared" si="6"/>
        <v>-0.001557572494</v>
      </c>
      <c r="AY249" s="63">
        <v>104008.0</v>
      </c>
    </row>
    <row r="250" ht="15.75" customHeight="1">
      <c r="A250" s="63" t="s">
        <v>530</v>
      </c>
      <c r="B250" s="63" t="s">
        <v>531</v>
      </c>
      <c r="C250" s="63" t="s">
        <v>532</v>
      </c>
      <c r="D250" s="63">
        <v>80104.0</v>
      </c>
      <c r="E250" s="63" t="s">
        <v>235</v>
      </c>
      <c r="H250" s="63">
        <v>3.0</v>
      </c>
      <c r="I250" s="63">
        <v>5.0</v>
      </c>
      <c r="K250" s="63">
        <v>10.0</v>
      </c>
      <c r="L250" s="63">
        <v>66.0</v>
      </c>
      <c r="N250" s="63">
        <v>54.0</v>
      </c>
      <c r="P250" s="63">
        <v>2.0</v>
      </c>
      <c r="W250" s="64">
        <v>28.0</v>
      </c>
      <c r="X250" s="63">
        <v>28.0</v>
      </c>
      <c r="AA250" s="63">
        <v>4.0</v>
      </c>
      <c r="AB250" s="63">
        <v>17.0</v>
      </c>
      <c r="AD250" s="63">
        <v>11.0</v>
      </c>
      <c r="AE250" s="63">
        <v>276.0</v>
      </c>
      <c r="AG250" s="63">
        <v>187.0</v>
      </c>
      <c r="AL250" s="63">
        <v>32.0</v>
      </c>
      <c r="AP250" s="63">
        <v>121.0</v>
      </c>
      <c r="AQ250" s="63">
        <v>121.0</v>
      </c>
      <c r="AR250" s="63">
        <v>21.0</v>
      </c>
      <c r="AS250" s="63">
        <f t="shared" si="1"/>
        <v>392</v>
      </c>
      <c r="AT250" s="63">
        <f t="shared" si="2"/>
        <v>275</v>
      </c>
      <c r="AU250" s="63">
        <f t="shared" si="3"/>
        <v>298</v>
      </c>
      <c r="AV250" s="63">
        <f t="shared" si="4"/>
        <v>117</v>
      </c>
      <c r="AW250" s="63">
        <f t="shared" si="5"/>
        <v>-181</v>
      </c>
      <c r="AX250" s="67">
        <f t="shared" si="6"/>
        <v>-0.00174025075</v>
      </c>
      <c r="AY250" s="63">
        <v>104008.0</v>
      </c>
    </row>
    <row r="251" ht="15.75" customHeight="1">
      <c r="A251" s="63" t="s">
        <v>597</v>
      </c>
      <c r="B251" s="63" t="s">
        <v>598</v>
      </c>
      <c r="C251" s="63" t="s">
        <v>599</v>
      </c>
      <c r="D251" s="63">
        <v>80602.0</v>
      </c>
      <c r="E251" s="63" t="s">
        <v>250</v>
      </c>
      <c r="G251" s="63">
        <v>8.0</v>
      </c>
      <c r="I251" s="63">
        <v>47.0</v>
      </c>
      <c r="K251" s="63">
        <v>3.0</v>
      </c>
      <c r="L251" s="63">
        <v>137.0</v>
      </c>
      <c r="N251" s="63">
        <v>178.0</v>
      </c>
      <c r="R251" s="63">
        <v>178.0</v>
      </c>
      <c r="S251" s="63">
        <v>1.0</v>
      </c>
      <c r="U251" s="63">
        <v>3.0</v>
      </c>
      <c r="W251" s="64"/>
      <c r="X251" s="63">
        <v>13.0</v>
      </c>
      <c r="Z251" s="63">
        <v>2.0</v>
      </c>
      <c r="AB251" s="63">
        <v>1.0</v>
      </c>
      <c r="AD251" s="63">
        <v>2.0</v>
      </c>
      <c r="AE251" s="63">
        <v>2.0</v>
      </c>
      <c r="AF251" s="63">
        <v>15.0</v>
      </c>
      <c r="AG251" s="63">
        <v>20.0</v>
      </c>
      <c r="AK251" s="63">
        <v>20.0</v>
      </c>
      <c r="AQ251" s="63">
        <v>2.0</v>
      </c>
      <c r="AR251" s="63">
        <v>53.0</v>
      </c>
      <c r="AS251" s="63">
        <f t="shared" si="1"/>
        <v>217</v>
      </c>
      <c r="AT251" s="63">
        <f t="shared" si="2"/>
        <v>400</v>
      </c>
      <c r="AU251" s="63">
        <f t="shared" si="3"/>
        <v>15</v>
      </c>
      <c r="AV251" s="63">
        <f t="shared" si="4"/>
        <v>-183</v>
      </c>
      <c r="AW251" s="63">
        <f t="shared" si="5"/>
        <v>-198</v>
      </c>
      <c r="AX251" s="67">
        <f t="shared" si="6"/>
        <v>-0.001903699715</v>
      </c>
      <c r="AY251" s="63">
        <v>104008.0</v>
      </c>
    </row>
    <row r="252" ht="15.75" customHeight="1">
      <c r="A252" s="63" t="s">
        <v>582</v>
      </c>
      <c r="B252" s="63" t="s">
        <v>583</v>
      </c>
      <c r="C252" s="63" t="s">
        <v>584</v>
      </c>
      <c r="D252" s="63">
        <v>80229.0</v>
      </c>
      <c r="E252" s="63" t="s">
        <v>250</v>
      </c>
      <c r="F252" s="63">
        <v>21.0</v>
      </c>
      <c r="G252" s="63">
        <v>21.0</v>
      </c>
      <c r="I252" s="63">
        <v>5.0</v>
      </c>
      <c r="N252" s="63">
        <v>116.0</v>
      </c>
      <c r="S252" s="63">
        <v>4.0</v>
      </c>
      <c r="W252" s="64">
        <v>116.0</v>
      </c>
      <c r="X252" s="63">
        <v>15.0</v>
      </c>
      <c r="AS252" s="63">
        <f t="shared" si="1"/>
        <v>47</v>
      </c>
      <c r="AT252" s="63">
        <f t="shared" si="2"/>
        <v>120</v>
      </c>
      <c r="AU252" s="63">
        <f t="shared" si="3"/>
        <v>131</v>
      </c>
      <c r="AV252" s="63">
        <f t="shared" si="4"/>
        <v>-73</v>
      </c>
      <c r="AW252" s="63">
        <f t="shared" si="5"/>
        <v>-204</v>
      </c>
      <c r="AX252" s="67">
        <f t="shared" si="6"/>
        <v>-0.001961387586</v>
      </c>
      <c r="AY252" s="63">
        <v>104008.0</v>
      </c>
    </row>
    <row r="253" ht="15.75" customHeight="1">
      <c r="A253" s="63" t="s">
        <v>844</v>
      </c>
      <c r="B253" s="63" t="s">
        <v>845</v>
      </c>
      <c r="C253" s="63" t="s">
        <v>846</v>
      </c>
      <c r="D253" s="63">
        <v>80222.0</v>
      </c>
      <c r="E253" s="63" t="s">
        <v>421</v>
      </c>
      <c r="N253" s="63">
        <v>186.0</v>
      </c>
      <c r="W253" s="64"/>
      <c r="AG253" s="63">
        <v>19.0</v>
      </c>
      <c r="AR253" s="63">
        <v>3.7</v>
      </c>
      <c r="AS253" s="63">
        <f t="shared" si="1"/>
        <v>0</v>
      </c>
      <c r="AT253" s="63">
        <f t="shared" si="2"/>
        <v>205</v>
      </c>
      <c r="AU253" s="63">
        <f t="shared" si="3"/>
        <v>0</v>
      </c>
      <c r="AV253" s="63">
        <f t="shared" si="4"/>
        <v>-205</v>
      </c>
      <c r="AW253" s="63">
        <f t="shared" si="5"/>
        <v>-205</v>
      </c>
      <c r="AX253" s="67">
        <f t="shared" si="6"/>
        <v>-0.001971002231</v>
      </c>
      <c r="AY253" s="63">
        <v>104008.0</v>
      </c>
    </row>
    <row r="254" ht="15.75" customHeight="1">
      <c r="A254" s="63" t="s">
        <v>392</v>
      </c>
      <c r="B254" s="63" t="s">
        <v>393</v>
      </c>
      <c r="C254" s="63" t="s">
        <v>394</v>
      </c>
      <c r="D254" s="63">
        <v>81052.0</v>
      </c>
      <c r="E254" s="63" t="s">
        <v>395</v>
      </c>
      <c r="F254" s="63">
        <v>7.0</v>
      </c>
      <c r="H254" s="63">
        <v>338.0</v>
      </c>
      <c r="I254" s="63">
        <v>18.0</v>
      </c>
      <c r="M254" s="63">
        <v>22.0</v>
      </c>
      <c r="N254" s="63">
        <v>64.0</v>
      </c>
      <c r="O254" s="63">
        <v>241.0</v>
      </c>
      <c r="P254" s="63">
        <v>66.0</v>
      </c>
      <c r="U254" s="63">
        <v>6.0</v>
      </c>
      <c r="W254" s="64">
        <v>378.0</v>
      </c>
      <c r="AS254" s="63">
        <f t="shared" si="1"/>
        <v>385</v>
      </c>
      <c r="AT254" s="63">
        <f t="shared" si="2"/>
        <v>377</v>
      </c>
      <c r="AU254" s="63">
        <f t="shared" si="3"/>
        <v>378</v>
      </c>
      <c r="AV254" s="63">
        <f t="shared" si="4"/>
        <v>8</v>
      </c>
      <c r="AW254" s="63">
        <f t="shared" si="5"/>
        <v>-370</v>
      </c>
      <c r="AX254" s="67">
        <f t="shared" si="6"/>
        <v>-0.00355741866</v>
      </c>
      <c r="AY254" s="63">
        <v>104008.0</v>
      </c>
    </row>
    <row r="255" ht="15.75" customHeight="1">
      <c r="A255" s="63" t="s">
        <v>555</v>
      </c>
      <c r="B255" s="63" t="s">
        <v>556</v>
      </c>
      <c r="C255" s="63" t="s">
        <v>557</v>
      </c>
      <c r="D255" s="63">
        <v>80621.0</v>
      </c>
      <c r="E255" s="63" t="s">
        <v>258</v>
      </c>
      <c r="F255" s="63">
        <v>31.0</v>
      </c>
      <c r="G255" s="63">
        <v>23.0</v>
      </c>
      <c r="H255" s="63">
        <v>14.0</v>
      </c>
      <c r="I255" s="63">
        <v>10.0</v>
      </c>
      <c r="K255" s="63">
        <v>270.0</v>
      </c>
      <c r="L255" s="63">
        <v>65.0</v>
      </c>
      <c r="M255" s="63">
        <v>9.0</v>
      </c>
      <c r="N255" s="63">
        <v>278.0</v>
      </c>
      <c r="O255" s="63">
        <v>4.0</v>
      </c>
      <c r="S255" s="63">
        <v>3.0</v>
      </c>
      <c r="U255" s="63">
        <v>9.0</v>
      </c>
      <c r="W255" s="64">
        <v>18.0</v>
      </c>
      <c r="X255" s="63">
        <v>8.0</v>
      </c>
      <c r="Y255" s="63">
        <v>20.0</v>
      </c>
      <c r="AA255" s="63">
        <v>15.0</v>
      </c>
      <c r="AB255" s="63">
        <v>2.0</v>
      </c>
      <c r="AD255" s="63">
        <v>175.0</v>
      </c>
      <c r="AE255" s="63">
        <v>300.0</v>
      </c>
      <c r="AF255" s="63">
        <v>15.0</v>
      </c>
      <c r="AG255" s="63">
        <v>495.0</v>
      </c>
      <c r="AK255" s="63">
        <v>510.0</v>
      </c>
      <c r="AL255" s="63">
        <v>6.0</v>
      </c>
      <c r="AP255" s="63">
        <v>10.0</v>
      </c>
      <c r="AR255" s="63">
        <v>26.0</v>
      </c>
      <c r="AS255" s="63">
        <f t="shared" si="1"/>
        <v>949</v>
      </c>
      <c r="AT255" s="63">
        <f t="shared" si="2"/>
        <v>1305</v>
      </c>
      <c r="AU255" s="63">
        <f t="shared" si="3"/>
        <v>36</v>
      </c>
      <c r="AV255" s="63">
        <f t="shared" si="4"/>
        <v>-356</v>
      </c>
      <c r="AW255" s="63">
        <f t="shared" si="5"/>
        <v>-392</v>
      </c>
      <c r="AX255" s="67">
        <f t="shared" ref="AX255:AX256" si="7">SUM(AW255/AY254)</f>
        <v>-0.003768940851</v>
      </c>
      <c r="AY255" s="63">
        <v>104008.0</v>
      </c>
    </row>
    <row r="256" ht="15.75" customHeight="1">
      <c r="A256" s="63" t="s">
        <v>1036</v>
      </c>
      <c r="B256" s="63" t="s">
        <v>1037</v>
      </c>
      <c r="C256" s="63" t="s">
        <v>1038</v>
      </c>
      <c r="D256" s="63">
        <v>80016.0</v>
      </c>
      <c r="E256" s="63" t="s">
        <v>350</v>
      </c>
      <c r="G256" s="63">
        <v>7.0</v>
      </c>
      <c r="I256" s="63">
        <v>2.0</v>
      </c>
      <c r="K256" s="63">
        <v>5.0</v>
      </c>
      <c r="L256" s="63">
        <v>200.0</v>
      </c>
      <c r="N256" s="63">
        <v>203.0</v>
      </c>
      <c r="U256" s="63">
        <v>2.0</v>
      </c>
      <c r="W256" s="64"/>
      <c r="X256" s="63">
        <v>205.0</v>
      </c>
      <c r="Z256" s="63">
        <v>6.0</v>
      </c>
      <c r="AB256" s="63">
        <v>2.0</v>
      </c>
      <c r="AD256" s="63">
        <v>20.0</v>
      </c>
      <c r="AE256" s="63">
        <v>312.0</v>
      </c>
      <c r="AG256" s="63">
        <v>324.0</v>
      </c>
      <c r="AL256" s="63">
        <v>8.0</v>
      </c>
      <c r="AQ256" s="63">
        <v>340.0</v>
      </c>
      <c r="AR256" s="63">
        <v>14.0</v>
      </c>
      <c r="AS256" s="63">
        <f t="shared" si="1"/>
        <v>554</v>
      </c>
      <c r="AT256" s="63">
        <f t="shared" si="2"/>
        <v>537</v>
      </c>
      <c r="AU256" s="63">
        <f t="shared" si="3"/>
        <v>545</v>
      </c>
      <c r="AV256" s="63">
        <f t="shared" si="4"/>
        <v>17</v>
      </c>
      <c r="AW256" s="63">
        <f t="shared" si="5"/>
        <v>-528</v>
      </c>
      <c r="AX256" s="67">
        <f t="shared" si="7"/>
        <v>-0.005076532574</v>
      </c>
      <c r="AY256" s="63">
        <v>104008.0</v>
      </c>
    </row>
    <row r="257" ht="15.75" customHeight="1">
      <c r="W257" s="64"/>
      <c r="AX257" s="67"/>
    </row>
    <row r="258" ht="15.75" customHeight="1">
      <c r="B258" s="63" t="s">
        <v>1051</v>
      </c>
      <c r="F258" s="63">
        <f t="shared" ref="F258:AX258" si="8">SUM(F2:F257)</f>
        <v>4457</v>
      </c>
      <c r="G258" s="63">
        <f t="shared" si="8"/>
        <v>1669</v>
      </c>
      <c r="H258" s="63">
        <f t="shared" si="8"/>
        <v>35870</v>
      </c>
      <c r="I258" s="63">
        <f t="shared" si="8"/>
        <v>15830</v>
      </c>
      <c r="J258" s="63">
        <f t="shared" si="8"/>
        <v>4214</v>
      </c>
      <c r="K258" s="63">
        <f t="shared" si="8"/>
        <v>7078</v>
      </c>
      <c r="L258" s="63">
        <f t="shared" si="8"/>
        <v>14199</v>
      </c>
      <c r="M258" s="63">
        <f t="shared" si="8"/>
        <v>5544</v>
      </c>
      <c r="N258" s="63">
        <f t="shared" si="8"/>
        <v>42058</v>
      </c>
      <c r="O258" s="63">
        <f t="shared" si="8"/>
        <v>23613</v>
      </c>
      <c r="P258" s="63">
        <f t="shared" si="8"/>
        <v>6148</v>
      </c>
      <c r="Q258" s="63">
        <f t="shared" si="8"/>
        <v>191</v>
      </c>
      <c r="R258" s="63">
        <f t="shared" si="8"/>
        <v>409</v>
      </c>
      <c r="S258" s="63">
        <f t="shared" si="8"/>
        <v>273</v>
      </c>
      <c r="T258" s="63">
        <f t="shared" si="8"/>
        <v>26</v>
      </c>
      <c r="U258" s="63">
        <f t="shared" si="8"/>
        <v>5420</v>
      </c>
      <c r="V258" s="63">
        <f t="shared" si="8"/>
        <v>4200</v>
      </c>
      <c r="W258" s="64">
        <f t="shared" si="8"/>
        <v>4921</v>
      </c>
      <c r="X258" s="63">
        <f t="shared" si="8"/>
        <v>2035</v>
      </c>
      <c r="Y258" s="63">
        <f t="shared" si="8"/>
        <v>1021</v>
      </c>
      <c r="Z258" s="63">
        <f t="shared" si="8"/>
        <v>924</v>
      </c>
      <c r="AA258" s="63">
        <f t="shared" si="8"/>
        <v>2438</v>
      </c>
      <c r="AB258" s="63">
        <f t="shared" si="8"/>
        <v>2271</v>
      </c>
      <c r="AC258" s="63">
        <f t="shared" si="8"/>
        <v>21</v>
      </c>
      <c r="AD258" s="63">
        <f t="shared" si="8"/>
        <v>2011</v>
      </c>
      <c r="AE258" s="63">
        <f t="shared" si="8"/>
        <v>13948</v>
      </c>
      <c r="AF258" s="63">
        <f t="shared" si="8"/>
        <v>705</v>
      </c>
      <c r="AG258" s="63">
        <f t="shared" si="8"/>
        <v>18565</v>
      </c>
      <c r="AH258" s="63">
        <f t="shared" si="8"/>
        <v>604</v>
      </c>
      <c r="AI258" s="63">
        <f t="shared" si="8"/>
        <v>1259</v>
      </c>
      <c r="AJ258" s="63">
        <f t="shared" si="8"/>
        <v>41</v>
      </c>
      <c r="AK258" s="63">
        <f t="shared" si="8"/>
        <v>565</v>
      </c>
      <c r="AL258" s="63">
        <f t="shared" si="8"/>
        <v>361</v>
      </c>
      <c r="AM258" s="63">
        <f t="shared" si="8"/>
        <v>10</v>
      </c>
      <c r="AN258" s="63">
        <f t="shared" si="8"/>
        <v>240</v>
      </c>
      <c r="AO258" s="63">
        <f t="shared" si="8"/>
        <v>25</v>
      </c>
      <c r="AP258" s="63">
        <f t="shared" si="8"/>
        <v>758</v>
      </c>
      <c r="AQ258" s="63">
        <f t="shared" si="8"/>
        <v>1011</v>
      </c>
      <c r="AR258" s="63">
        <f t="shared" si="8"/>
        <v>3899.323</v>
      </c>
      <c r="AS258" s="63">
        <f t="shared" si="8"/>
        <v>112200</v>
      </c>
      <c r="AT258" s="63">
        <f t="shared" si="8"/>
        <v>104008</v>
      </c>
      <c r="AU258" s="63">
        <f t="shared" si="8"/>
        <v>8725</v>
      </c>
      <c r="AV258" s="63">
        <f t="shared" si="8"/>
        <v>8192</v>
      </c>
      <c r="AW258" s="63">
        <f t="shared" si="8"/>
        <v>-533</v>
      </c>
      <c r="AX258" s="67">
        <f t="shared" si="8"/>
        <v>-0.0051246058</v>
      </c>
    </row>
    <row r="259" ht="15.75" customHeight="1">
      <c r="AX259" s="67"/>
    </row>
    <row r="260" ht="15.75" customHeight="1">
      <c r="AX260" s="67"/>
    </row>
    <row r="261" ht="15.75" customHeight="1">
      <c r="AX261" s="67"/>
    </row>
    <row r="262" ht="15.75" customHeight="1">
      <c r="AX262" s="67"/>
    </row>
    <row r="263" ht="15.75" customHeight="1">
      <c r="AX263" s="67"/>
    </row>
    <row r="264" ht="15.75" customHeight="1">
      <c r="AX264" s="67"/>
    </row>
    <row r="265" ht="15.75" customHeight="1">
      <c r="AX265" s="67"/>
    </row>
    <row r="266" ht="15.75" customHeight="1">
      <c r="AX266" s="67"/>
    </row>
    <row r="267" ht="15.75" customHeight="1">
      <c r="AX267" s="67"/>
    </row>
    <row r="268" ht="15.75" customHeight="1">
      <c r="AX268" s="67"/>
    </row>
    <row r="269" ht="15.75" customHeight="1">
      <c r="AX269" s="67"/>
    </row>
    <row r="270" ht="15.75" customHeight="1">
      <c r="AX270" s="67"/>
    </row>
    <row r="271" ht="15.75" customHeight="1">
      <c r="AX271" s="67"/>
    </row>
    <row r="272" ht="15.75" customHeight="1">
      <c r="AX272" s="67"/>
    </row>
    <row r="273" ht="15.75" customHeight="1">
      <c r="AX273" s="67"/>
    </row>
    <row r="274" ht="15.75" customHeight="1">
      <c r="AX274" s="67"/>
    </row>
    <row r="275" ht="15.75" customHeight="1">
      <c r="AX275" s="67"/>
    </row>
    <row r="276" ht="15.75" customHeight="1">
      <c r="AX276" s="67"/>
    </row>
    <row r="277" ht="15.75" customHeight="1">
      <c r="AX277" s="67"/>
    </row>
    <row r="278" ht="15.75" customHeight="1">
      <c r="AX278" s="67"/>
    </row>
    <row r="279" ht="15.75" customHeight="1">
      <c r="AX279" s="67"/>
    </row>
    <row r="280" ht="15.75" customHeight="1">
      <c r="AX280" s="67"/>
    </row>
    <row r="281" ht="15.75" customHeight="1">
      <c r="AX281" s="67"/>
    </row>
    <row r="282" ht="15.75" customHeight="1">
      <c r="AX282" s="67"/>
    </row>
    <row r="283" ht="15.75" customHeight="1">
      <c r="AX283" s="67"/>
    </row>
    <row r="284" ht="15.75" customHeight="1">
      <c r="AX284" s="67"/>
    </row>
    <row r="285" ht="15.75" customHeight="1">
      <c r="AX285" s="67"/>
    </row>
    <row r="286" ht="15.75" customHeight="1">
      <c r="AX286" s="67"/>
    </row>
    <row r="287" ht="15.75" customHeight="1">
      <c r="AX287" s="67"/>
    </row>
    <row r="288" ht="15.75" customHeight="1">
      <c r="AX288" s="67"/>
    </row>
    <row r="289" ht="15.75" customHeight="1">
      <c r="AX289" s="67"/>
    </row>
    <row r="290" ht="15.75" customHeight="1">
      <c r="AX290" s="67"/>
    </row>
    <row r="291" ht="15.75" customHeight="1">
      <c r="AX291" s="67"/>
    </row>
    <row r="292" ht="15.75" customHeight="1">
      <c r="AX292" s="67"/>
    </row>
    <row r="293" ht="15.75" customHeight="1">
      <c r="AX293" s="67"/>
    </row>
    <row r="294" ht="15.75" customHeight="1">
      <c r="AX294" s="67"/>
    </row>
    <row r="295" ht="15.75" customHeight="1">
      <c r="AX295" s="67"/>
    </row>
    <row r="296" ht="15.75" customHeight="1">
      <c r="AX296" s="67"/>
    </row>
    <row r="297" ht="15.75" customHeight="1">
      <c r="AX297" s="67"/>
    </row>
    <row r="298" ht="15.75" customHeight="1">
      <c r="AX298" s="67"/>
    </row>
    <row r="299" ht="15.75" customHeight="1">
      <c r="AX299" s="67"/>
    </row>
    <row r="300" ht="15.75" customHeight="1">
      <c r="AX300" s="67"/>
    </row>
    <row r="301" ht="15.75" customHeight="1">
      <c r="AX301" s="67"/>
    </row>
    <row r="302" ht="15.75" customHeight="1">
      <c r="AX302" s="67"/>
    </row>
    <row r="303" ht="15.75" customHeight="1">
      <c r="AX303" s="67"/>
    </row>
    <row r="304" ht="15.75" customHeight="1">
      <c r="AX304" s="67"/>
    </row>
    <row r="305" ht="15.75" customHeight="1">
      <c r="AX305" s="67"/>
    </row>
    <row r="306" ht="15.75" customHeight="1">
      <c r="AX306" s="67"/>
    </row>
    <row r="307" ht="15.75" customHeight="1">
      <c r="AX307" s="67"/>
    </row>
    <row r="308" ht="15.75" customHeight="1">
      <c r="AX308" s="67"/>
    </row>
    <row r="309" ht="15.75" customHeight="1">
      <c r="AX309" s="67"/>
    </row>
    <row r="310" ht="15.75" customHeight="1">
      <c r="AX310" s="67"/>
    </row>
    <row r="311" ht="15.75" customHeight="1">
      <c r="AX311" s="67"/>
    </row>
    <row r="312" ht="15.75" customHeight="1">
      <c r="AX312" s="67"/>
    </row>
    <row r="313" ht="15.75" customHeight="1">
      <c r="AX313" s="67"/>
    </row>
    <row r="314" ht="15.75" customHeight="1">
      <c r="AX314" s="67"/>
    </row>
    <row r="315" ht="15.75" customHeight="1">
      <c r="AX315" s="67"/>
    </row>
    <row r="316" ht="15.75" customHeight="1">
      <c r="AX316" s="67"/>
    </row>
    <row r="317" ht="15.75" customHeight="1">
      <c r="AX317" s="67"/>
    </row>
    <row r="318" ht="15.75" customHeight="1">
      <c r="AX318" s="67"/>
    </row>
    <row r="319" ht="15.75" customHeight="1">
      <c r="AX319" s="67"/>
    </row>
    <row r="320" ht="15.75" customHeight="1">
      <c r="AX320" s="67"/>
    </row>
    <row r="321" ht="15.75" customHeight="1">
      <c r="AX321" s="67"/>
    </row>
    <row r="322" ht="15.75" customHeight="1">
      <c r="AX322" s="67"/>
    </row>
    <row r="323" ht="15.75" customHeight="1">
      <c r="AX323" s="67"/>
    </row>
    <row r="324" ht="15.75" customHeight="1">
      <c r="AX324" s="67"/>
    </row>
    <row r="325" ht="15.75" customHeight="1">
      <c r="AX325" s="67"/>
    </row>
    <row r="326" ht="15.75" customHeight="1">
      <c r="AX326" s="67"/>
    </row>
    <row r="327" ht="15.75" customHeight="1">
      <c r="AX327" s="67"/>
    </row>
    <row r="328" ht="15.75" customHeight="1">
      <c r="AX328" s="67"/>
    </row>
    <row r="329" ht="15.75" customHeight="1">
      <c r="AX329" s="67"/>
    </row>
    <row r="330" ht="15.75" customHeight="1">
      <c r="AX330" s="67"/>
    </row>
    <row r="331" ht="15.75" customHeight="1">
      <c r="AX331" s="67"/>
    </row>
    <row r="332" ht="15.75" customHeight="1">
      <c r="AX332" s="67"/>
    </row>
    <row r="333" ht="15.75" customHeight="1">
      <c r="AX333" s="67"/>
    </row>
    <row r="334" ht="15.75" customHeight="1">
      <c r="AX334" s="67"/>
    </row>
    <row r="335" ht="15.75" customHeight="1">
      <c r="AX335" s="67"/>
    </row>
    <row r="336" ht="15.75" customHeight="1">
      <c r="AX336" s="67"/>
    </row>
    <row r="337" ht="15.75" customHeight="1">
      <c r="AX337" s="67"/>
    </row>
    <row r="338" ht="15.75" customHeight="1">
      <c r="AX338" s="67"/>
    </row>
    <row r="339" ht="15.75" customHeight="1">
      <c r="AX339" s="67"/>
    </row>
    <row r="340" ht="15.75" customHeight="1">
      <c r="AX340" s="67"/>
    </row>
    <row r="341" ht="15.75" customHeight="1">
      <c r="AX341" s="67"/>
    </row>
    <row r="342" ht="15.75" customHeight="1">
      <c r="AX342" s="67"/>
    </row>
    <row r="343" ht="15.75" customHeight="1">
      <c r="AX343" s="67"/>
    </row>
    <row r="344" ht="15.75" customHeight="1">
      <c r="AX344" s="67"/>
    </row>
    <row r="345" ht="15.75" customHeight="1">
      <c r="AX345" s="67"/>
    </row>
    <row r="346" ht="15.75" customHeight="1">
      <c r="AX346" s="67"/>
    </row>
    <row r="347" ht="15.75" customHeight="1">
      <c r="AX347" s="67"/>
    </row>
    <row r="348" ht="15.75" customHeight="1">
      <c r="AX348" s="67"/>
    </row>
    <row r="349" ht="15.75" customHeight="1">
      <c r="AX349" s="67"/>
    </row>
    <row r="350" ht="15.75" customHeight="1">
      <c r="AX350" s="67"/>
    </row>
    <row r="351" ht="15.75" customHeight="1">
      <c r="AX351" s="67"/>
    </row>
    <row r="352" ht="15.75" customHeight="1">
      <c r="AX352" s="67"/>
    </row>
    <row r="353" ht="15.75" customHeight="1">
      <c r="AX353" s="67"/>
    </row>
    <row r="354" ht="15.75" customHeight="1">
      <c r="AX354" s="67"/>
    </row>
    <row r="355" ht="15.75" customHeight="1">
      <c r="AX355" s="67"/>
    </row>
    <row r="356" ht="15.75" customHeight="1">
      <c r="AX356" s="67"/>
    </row>
    <row r="357" ht="15.75" customHeight="1">
      <c r="AX357" s="67"/>
    </row>
    <row r="358" ht="15.75" customHeight="1">
      <c r="AX358" s="67"/>
    </row>
    <row r="359" ht="15.75" customHeight="1">
      <c r="AX359" s="67"/>
    </row>
    <row r="360" ht="15.75" customHeight="1">
      <c r="AX360" s="67"/>
    </row>
    <row r="361" ht="15.75" customHeight="1">
      <c r="AX361" s="67"/>
    </row>
    <row r="362" ht="15.75" customHeight="1">
      <c r="AX362" s="67"/>
    </row>
    <row r="363" ht="15.75" customHeight="1">
      <c r="AX363" s="67"/>
    </row>
    <row r="364" ht="15.75" customHeight="1">
      <c r="AX364" s="67"/>
    </row>
    <row r="365" ht="15.75" customHeight="1">
      <c r="AX365" s="67"/>
    </row>
    <row r="366" ht="15.75" customHeight="1">
      <c r="AX366" s="67"/>
    </row>
    <row r="367" ht="15.75" customHeight="1">
      <c r="AX367" s="67"/>
    </row>
    <row r="368" ht="15.75" customHeight="1">
      <c r="AX368" s="67"/>
    </row>
    <row r="369" ht="15.75" customHeight="1">
      <c r="AX369" s="67"/>
    </row>
    <row r="370" ht="15.75" customHeight="1">
      <c r="AX370" s="67"/>
    </row>
    <row r="371" ht="15.75" customHeight="1">
      <c r="AX371" s="67"/>
    </row>
    <row r="372" ht="15.75" customHeight="1">
      <c r="AX372" s="67"/>
    </row>
    <row r="373" ht="15.75" customHeight="1">
      <c r="AX373" s="67"/>
    </row>
    <row r="374" ht="15.75" customHeight="1">
      <c r="AX374" s="67"/>
    </row>
    <row r="375" ht="15.75" customHeight="1">
      <c r="AX375" s="67"/>
    </row>
    <row r="376" ht="15.75" customHeight="1">
      <c r="AX376" s="67"/>
    </row>
    <row r="377" ht="15.75" customHeight="1">
      <c r="AX377" s="67"/>
    </row>
    <row r="378" ht="15.75" customHeight="1">
      <c r="AX378" s="67"/>
    </row>
    <row r="379" ht="15.75" customHeight="1">
      <c r="AX379" s="67"/>
    </row>
    <row r="380" ht="15.75" customHeight="1">
      <c r="AX380" s="67"/>
    </row>
    <row r="381" ht="15.75" customHeight="1">
      <c r="AX381" s="67"/>
    </row>
    <row r="382" ht="15.75" customHeight="1">
      <c r="AX382" s="67"/>
    </row>
    <row r="383" ht="15.75" customHeight="1">
      <c r="AX383" s="67"/>
    </row>
    <row r="384" ht="15.75" customHeight="1">
      <c r="AX384" s="67"/>
    </row>
    <row r="385" ht="15.75" customHeight="1">
      <c r="AX385" s="67"/>
    </row>
    <row r="386" ht="15.75" customHeight="1">
      <c r="AX386" s="67"/>
    </row>
    <row r="387" ht="15.75" customHeight="1">
      <c r="AX387" s="67"/>
    </row>
    <row r="388" ht="15.75" customHeight="1">
      <c r="AX388" s="67"/>
    </row>
    <row r="389" ht="15.75" customHeight="1">
      <c r="AX389" s="67"/>
    </row>
    <row r="390" ht="15.75" customHeight="1">
      <c r="AX390" s="67"/>
    </row>
    <row r="391" ht="15.75" customHeight="1">
      <c r="AX391" s="67"/>
    </row>
    <row r="392" ht="15.75" customHeight="1">
      <c r="AX392" s="67"/>
    </row>
    <row r="393" ht="15.75" customHeight="1">
      <c r="AX393" s="67"/>
    </row>
    <row r="394" ht="15.75" customHeight="1">
      <c r="AX394" s="67"/>
    </row>
    <row r="395" ht="15.75" customHeight="1">
      <c r="AX395" s="67"/>
    </row>
    <row r="396" ht="15.75" customHeight="1">
      <c r="AX396" s="67"/>
    </row>
    <row r="397" ht="15.75" customHeight="1">
      <c r="AX397" s="67"/>
    </row>
    <row r="398" ht="15.75" customHeight="1">
      <c r="AX398" s="67"/>
    </row>
    <row r="399" ht="15.75" customHeight="1">
      <c r="AX399" s="67"/>
    </row>
    <row r="400" ht="15.75" customHeight="1">
      <c r="AX400" s="67"/>
    </row>
    <row r="401" ht="15.75" customHeight="1">
      <c r="AX401" s="67"/>
    </row>
    <row r="402" ht="15.75" customHeight="1">
      <c r="AX402" s="67"/>
    </row>
    <row r="403" ht="15.75" customHeight="1">
      <c r="AX403" s="67"/>
    </row>
    <row r="404" ht="15.75" customHeight="1">
      <c r="AX404" s="67"/>
    </row>
    <row r="405" ht="15.75" customHeight="1">
      <c r="AX405" s="67"/>
    </row>
    <row r="406" ht="15.75" customHeight="1">
      <c r="AX406" s="67"/>
    </row>
    <row r="407" ht="15.75" customHeight="1">
      <c r="AX407" s="67"/>
    </row>
    <row r="408" ht="15.75" customHeight="1">
      <c r="AX408" s="67"/>
    </row>
    <row r="409" ht="15.75" customHeight="1">
      <c r="AX409" s="67"/>
    </row>
    <row r="410" ht="15.75" customHeight="1">
      <c r="AX410" s="67"/>
    </row>
    <row r="411" ht="15.75" customHeight="1">
      <c r="AX411" s="67"/>
    </row>
    <row r="412" ht="15.75" customHeight="1">
      <c r="AX412" s="67"/>
    </row>
    <row r="413" ht="15.75" customHeight="1">
      <c r="AX413" s="67"/>
    </row>
    <row r="414" ht="15.75" customHeight="1">
      <c r="AX414" s="67"/>
    </row>
    <row r="415" ht="15.75" customHeight="1">
      <c r="AX415" s="67"/>
    </row>
    <row r="416" ht="15.75" customHeight="1">
      <c r="AX416" s="67"/>
    </row>
    <row r="417" ht="15.75" customHeight="1">
      <c r="AX417" s="67"/>
    </row>
    <row r="418" ht="15.75" customHeight="1">
      <c r="AX418" s="67"/>
    </row>
    <row r="419" ht="15.75" customHeight="1">
      <c r="AX419" s="67"/>
    </row>
    <row r="420" ht="15.75" customHeight="1">
      <c r="AX420" s="67"/>
    </row>
    <row r="421" ht="15.75" customHeight="1">
      <c r="AX421" s="67"/>
    </row>
    <row r="422" ht="15.75" customHeight="1">
      <c r="AX422" s="67"/>
    </row>
    <row r="423" ht="15.75" customHeight="1">
      <c r="AX423" s="67"/>
    </row>
    <row r="424" ht="15.75" customHeight="1">
      <c r="AX424" s="67"/>
    </row>
    <row r="425" ht="15.75" customHeight="1">
      <c r="AX425" s="67"/>
    </row>
    <row r="426" ht="15.75" customHeight="1">
      <c r="AX426" s="67"/>
    </row>
    <row r="427" ht="15.75" customHeight="1">
      <c r="AX427" s="67"/>
    </row>
    <row r="428" ht="15.75" customHeight="1">
      <c r="AX428" s="67"/>
    </row>
    <row r="429" ht="15.75" customHeight="1">
      <c r="AX429" s="67"/>
    </row>
    <row r="430" ht="15.75" customHeight="1">
      <c r="AX430" s="67"/>
    </row>
    <row r="431" ht="15.75" customHeight="1">
      <c r="AX431" s="67"/>
    </row>
    <row r="432" ht="15.75" customHeight="1">
      <c r="AX432" s="67"/>
    </row>
    <row r="433" ht="15.75" customHeight="1">
      <c r="AX433" s="67"/>
    </row>
    <row r="434" ht="15.75" customHeight="1">
      <c r="AX434" s="67"/>
    </row>
    <row r="435" ht="15.75" customHeight="1">
      <c r="AX435" s="67"/>
    </row>
    <row r="436" ht="15.75" customHeight="1">
      <c r="AX436" s="67"/>
    </row>
    <row r="437" ht="15.75" customHeight="1">
      <c r="AX437" s="67"/>
    </row>
    <row r="438" ht="15.75" customHeight="1">
      <c r="AX438" s="67"/>
    </row>
    <row r="439" ht="15.75" customHeight="1">
      <c r="AX439" s="67"/>
    </row>
    <row r="440" ht="15.75" customHeight="1">
      <c r="AX440" s="67"/>
    </row>
    <row r="441" ht="15.75" customHeight="1">
      <c r="AX441" s="67"/>
    </row>
    <row r="442" ht="15.75" customHeight="1">
      <c r="AX442" s="67"/>
    </row>
    <row r="443" ht="15.75" customHeight="1">
      <c r="AX443" s="67"/>
    </row>
    <row r="444" ht="15.75" customHeight="1">
      <c r="AX444" s="67"/>
    </row>
    <row r="445" ht="15.75" customHeight="1">
      <c r="AX445" s="67"/>
    </row>
    <row r="446" ht="15.75" customHeight="1">
      <c r="AX446" s="67"/>
    </row>
    <row r="447" ht="15.75" customHeight="1">
      <c r="AX447" s="67"/>
    </row>
    <row r="448" ht="15.75" customHeight="1">
      <c r="AX448" s="67"/>
    </row>
    <row r="449" ht="15.75" customHeight="1">
      <c r="AX449" s="67"/>
    </row>
    <row r="450" ht="15.75" customHeight="1">
      <c r="AX450" s="67"/>
    </row>
    <row r="451" ht="15.75" customHeight="1">
      <c r="AX451" s="67"/>
    </row>
    <row r="452" ht="15.75" customHeight="1">
      <c r="AX452" s="67"/>
    </row>
    <row r="453" ht="15.75" customHeight="1">
      <c r="AX453" s="67"/>
    </row>
    <row r="454" ht="15.75" customHeight="1">
      <c r="AX454" s="67"/>
    </row>
    <row r="455" ht="15.75" customHeight="1">
      <c r="AX455" s="67"/>
    </row>
    <row r="456" ht="15.75" customHeight="1">
      <c r="AX456" s="67"/>
    </row>
    <row r="457" ht="15.75" customHeight="1">
      <c r="AX457" s="67"/>
    </row>
    <row r="458" ht="15.75" customHeight="1">
      <c r="AX458" s="67"/>
    </row>
    <row r="459" ht="15.75" customHeight="1">
      <c r="AX459" s="67"/>
    </row>
    <row r="460" ht="15.75" customHeight="1">
      <c r="AX460" s="67"/>
    </row>
    <row r="461" ht="15.75" customHeight="1">
      <c r="AX461" s="67"/>
    </row>
    <row r="462" ht="15.75" customHeight="1">
      <c r="AX462" s="67"/>
    </row>
    <row r="463" ht="15.75" customHeight="1">
      <c r="AX463" s="67"/>
    </row>
    <row r="464" ht="15.75" customHeight="1">
      <c r="AX464" s="67"/>
    </row>
    <row r="465" ht="15.75" customHeight="1">
      <c r="AX465" s="67"/>
    </row>
    <row r="466" ht="15.75" customHeight="1">
      <c r="AX466" s="67"/>
    </row>
    <row r="467" ht="15.75" customHeight="1">
      <c r="AX467" s="67"/>
    </row>
    <row r="468" ht="15.75" customHeight="1">
      <c r="AX468" s="67"/>
    </row>
    <row r="469" ht="15.75" customHeight="1">
      <c r="AX469" s="67"/>
    </row>
    <row r="470" ht="15.75" customHeight="1">
      <c r="AX470" s="67"/>
    </row>
    <row r="471" ht="15.75" customHeight="1">
      <c r="AX471" s="67"/>
    </row>
    <row r="472" ht="15.75" customHeight="1">
      <c r="AX472" s="67"/>
    </row>
    <row r="473" ht="15.75" customHeight="1">
      <c r="AX473" s="67"/>
    </row>
    <row r="474" ht="15.75" customHeight="1">
      <c r="AX474" s="67"/>
    </row>
    <row r="475" ht="15.75" customHeight="1">
      <c r="AX475" s="67"/>
    </row>
    <row r="476" ht="15.75" customHeight="1">
      <c r="AX476" s="67"/>
    </row>
    <row r="477" ht="15.75" customHeight="1">
      <c r="AX477" s="67"/>
    </row>
    <row r="478" ht="15.75" customHeight="1">
      <c r="AX478" s="67"/>
    </row>
    <row r="479" ht="15.75" customHeight="1">
      <c r="AX479" s="67"/>
    </row>
    <row r="480" ht="15.75" customHeight="1">
      <c r="AX480" s="67"/>
    </row>
    <row r="481" ht="15.75" customHeight="1">
      <c r="AX481" s="67"/>
    </row>
    <row r="482" ht="15.75" customHeight="1">
      <c r="AX482" s="67"/>
    </row>
    <row r="483" ht="15.75" customHeight="1">
      <c r="AX483" s="67"/>
    </row>
    <row r="484" ht="15.75" customHeight="1">
      <c r="AX484" s="67"/>
    </row>
    <row r="485" ht="15.75" customHeight="1">
      <c r="AX485" s="67"/>
    </row>
    <row r="486" ht="15.75" customHeight="1">
      <c r="AX486" s="67"/>
    </row>
    <row r="487" ht="15.75" customHeight="1">
      <c r="AX487" s="67"/>
    </row>
    <row r="488" ht="15.75" customHeight="1">
      <c r="AX488" s="67"/>
    </row>
    <row r="489" ht="15.75" customHeight="1">
      <c r="AX489" s="67"/>
    </row>
    <row r="490" ht="15.75" customHeight="1">
      <c r="AX490" s="67"/>
    </row>
    <row r="491" ht="15.75" customHeight="1">
      <c r="AX491" s="67"/>
    </row>
    <row r="492" ht="15.75" customHeight="1">
      <c r="AX492" s="67"/>
    </row>
    <row r="493" ht="15.75" customHeight="1">
      <c r="AX493" s="67"/>
    </row>
    <row r="494" ht="15.75" customHeight="1">
      <c r="AX494" s="67"/>
    </row>
    <row r="495" ht="15.75" customHeight="1">
      <c r="AX495" s="67"/>
    </row>
    <row r="496" ht="15.75" customHeight="1">
      <c r="AX496" s="67"/>
    </row>
    <row r="497" ht="15.75" customHeight="1">
      <c r="AX497" s="67"/>
    </row>
    <row r="498" ht="15.75" customHeight="1">
      <c r="AX498" s="67"/>
    </row>
    <row r="499" ht="15.75" customHeight="1">
      <c r="AX499" s="67"/>
    </row>
    <row r="500" ht="15.75" customHeight="1">
      <c r="AX500" s="67"/>
    </row>
    <row r="501" ht="15.75" customHeight="1">
      <c r="AX501" s="67"/>
    </row>
    <row r="502" ht="15.75" customHeight="1">
      <c r="AX502" s="67"/>
    </row>
    <row r="503" ht="15.75" customHeight="1">
      <c r="AX503" s="67"/>
    </row>
    <row r="504" ht="15.75" customHeight="1">
      <c r="AX504" s="67"/>
    </row>
    <row r="505" ht="15.75" customHeight="1">
      <c r="AX505" s="67"/>
    </row>
    <row r="506" ht="15.75" customHeight="1">
      <c r="AX506" s="67"/>
    </row>
    <row r="507" ht="15.75" customHeight="1">
      <c r="AX507" s="67"/>
    </row>
    <row r="508" ht="15.75" customHeight="1">
      <c r="AX508" s="67"/>
    </row>
    <row r="509" ht="15.75" customHeight="1">
      <c r="AX509" s="67"/>
    </row>
    <row r="510" ht="15.75" customHeight="1">
      <c r="AX510" s="67"/>
    </row>
    <row r="511" ht="15.75" customHeight="1">
      <c r="AX511" s="67"/>
    </row>
    <row r="512" ht="15.75" customHeight="1">
      <c r="AX512" s="67"/>
    </row>
    <row r="513" ht="15.75" customHeight="1">
      <c r="AX513" s="67"/>
    </row>
    <row r="514" ht="15.75" customHeight="1">
      <c r="AX514" s="67"/>
    </row>
    <row r="515" ht="15.75" customHeight="1">
      <c r="AX515" s="67"/>
    </row>
    <row r="516" ht="15.75" customHeight="1">
      <c r="AX516" s="67"/>
    </row>
    <row r="517" ht="15.75" customHeight="1">
      <c r="AX517" s="67"/>
    </row>
    <row r="518" ht="15.75" customHeight="1">
      <c r="AX518" s="67"/>
    </row>
    <row r="519" ht="15.75" customHeight="1">
      <c r="AX519" s="67"/>
    </row>
    <row r="520" ht="15.75" customHeight="1">
      <c r="AX520" s="67"/>
    </row>
    <row r="521" ht="15.75" customHeight="1">
      <c r="AX521" s="67"/>
    </row>
    <row r="522" ht="15.75" customHeight="1">
      <c r="AX522" s="67"/>
    </row>
    <row r="523" ht="15.75" customHeight="1">
      <c r="AX523" s="67"/>
    </row>
    <row r="524" ht="15.75" customHeight="1">
      <c r="AX524" s="67"/>
    </row>
    <row r="525" ht="15.75" customHeight="1">
      <c r="AX525" s="67"/>
    </row>
    <row r="526" ht="15.75" customHeight="1">
      <c r="AX526" s="67"/>
    </row>
    <row r="527" ht="15.75" customHeight="1">
      <c r="AX527" s="67"/>
    </row>
    <row r="528" ht="15.75" customHeight="1">
      <c r="AX528" s="67"/>
    </row>
    <row r="529" ht="15.75" customHeight="1">
      <c r="AX529" s="67"/>
    </row>
    <row r="530" ht="15.75" customHeight="1">
      <c r="AX530" s="67"/>
    </row>
    <row r="531" ht="15.75" customHeight="1">
      <c r="AX531" s="67"/>
    </row>
    <row r="532" ht="15.75" customHeight="1">
      <c r="AX532" s="67"/>
    </row>
    <row r="533" ht="15.75" customHeight="1">
      <c r="AX533" s="67"/>
    </row>
    <row r="534" ht="15.75" customHeight="1">
      <c r="AX534" s="67"/>
    </row>
    <row r="535" ht="15.75" customHeight="1">
      <c r="AX535" s="67"/>
    </row>
    <row r="536" ht="15.75" customHeight="1">
      <c r="AX536" s="67"/>
    </row>
    <row r="537" ht="15.75" customHeight="1">
      <c r="AX537" s="67"/>
    </row>
    <row r="538" ht="15.75" customHeight="1">
      <c r="AX538" s="67"/>
    </row>
    <row r="539" ht="15.75" customHeight="1">
      <c r="AX539" s="67"/>
    </row>
    <row r="540" ht="15.75" customHeight="1">
      <c r="AX540" s="67"/>
    </row>
    <row r="541" ht="15.75" customHeight="1">
      <c r="AX541" s="67"/>
    </row>
    <row r="542" ht="15.75" customHeight="1">
      <c r="AX542" s="67"/>
    </row>
    <row r="543" ht="15.75" customHeight="1">
      <c r="AX543" s="67"/>
    </row>
    <row r="544" ht="15.75" customHeight="1">
      <c r="AX544" s="67"/>
    </row>
    <row r="545" ht="15.75" customHeight="1">
      <c r="AX545" s="67"/>
    </row>
    <row r="546" ht="15.75" customHeight="1">
      <c r="AX546" s="67"/>
    </row>
    <row r="547" ht="15.75" customHeight="1">
      <c r="AX547" s="67"/>
    </row>
    <row r="548" ht="15.75" customHeight="1">
      <c r="AX548" s="67"/>
    </row>
    <row r="549" ht="15.75" customHeight="1">
      <c r="AX549" s="67"/>
    </row>
    <row r="550" ht="15.75" customHeight="1">
      <c r="AX550" s="67"/>
    </row>
    <row r="551" ht="15.75" customHeight="1">
      <c r="AX551" s="67"/>
    </row>
    <row r="552" ht="15.75" customHeight="1">
      <c r="AX552" s="67"/>
    </row>
    <row r="553" ht="15.75" customHeight="1">
      <c r="AX553" s="67"/>
    </row>
    <row r="554" ht="15.75" customHeight="1">
      <c r="AX554" s="67"/>
    </row>
    <row r="555" ht="15.75" customHeight="1">
      <c r="AX555" s="67"/>
    </row>
    <row r="556" ht="15.75" customHeight="1">
      <c r="AX556" s="67"/>
    </row>
    <row r="557" ht="15.75" customHeight="1">
      <c r="AX557" s="67"/>
    </row>
    <row r="558" ht="15.75" customHeight="1">
      <c r="AX558" s="67"/>
    </row>
    <row r="559" ht="15.75" customHeight="1">
      <c r="AX559" s="67"/>
    </row>
    <row r="560" ht="15.75" customHeight="1">
      <c r="AX560" s="67"/>
    </row>
    <row r="561" ht="15.75" customHeight="1">
      <c r="AX561" s="67"/>
    </row>
    <row r="562" ht="15.75" customHeight="1">
      <c r="AX562" s="67"/>
    </row>
    <row r="563" ht="15.75" customHeight="1">
      <c r="AX563" s="67"/>
    </row>
    <row r="564" ht="15.75" customHeight="1">
      <c r="AX564" s="67"/>
    </row>
    <row r="565" ht="15.75" customHeight="1">
      <c r="AX565" s="67"/>
    </row>
    <row r="566" ht="15.75" customHeight="1">
      <c r="AX566" s="67"/>
    </row>
    <row r="567" ht="15.75" customHeight="1">
      <c r="AX567" s="67"/>
    </row>
    <row r="568" ht="15.75" customHeight="1">
      <c r="AX568" s="67"/>
    </row>
    <row r="569" ht="15.75" customHeight="1">
      <c r="AX569" s="67"/>
    </row>
    <row r="570" ht="15.75" customHeight="1">
      <c r="AX570" s="67"/>
    </row>
    <row r="571" ht="15.75" customHeight="1">
      <c r="AX571" s="67"/>
    </row>
    <row r="572" ht="15.75" customHeight="1">
      <c r="AX572" s="67"/>
    </row>
    <row r="573" ht="15.75" customHeight="1">
      <c r="AX573" s="67"/>
    </row>
    <row r="574" ht="15.75" customHeight="1">
      <c r="AX574" s="67"/>
    </row>
    <row r="575" ht="15.75" customHeight="1">
      <c r="AX575" s="67"/>
    </row>
    <row r="576" ht="15.75" customHeight="1">
      <c r="AX576" s="67"/>
    </row>
    <row r="577" ht="15.75" customHeight="1">
      <c r="AX577" s="67"/>
    </row>
    <row r="578" ht="15.75" customHeight="1">
      <c r="AX578" s="67"/>
    </row>
    <row r="579" ht="15.75" customHeight="1">
      <c r="AX579" s="67"/>
    </row>
    <row r="580" ht="15.75" customHeight="1">
      <c r="AX580" s="67"/>
    </row>
    <row r="581" ht="15.75" customHeight="1">
      <c r="AX581" s="67"/>
    </row>
    <row r="582" ht="15.75" customHeight="1">
      <c r="AX582" s="67"/>
    </row>
    <row r="583" ht="15.75" customHeight="1">
      <c r="AX583" s="67"/>
    </row>
    <row r="584" ht="15.75" customHeight="1">
      <c r="AX584" s="67"/>
    </row>
    <row r="585" ht="15.75" customHeight="1">
      <c r="AX585" s="67"/>
    </row>
    <row r="586" ht="15.75" customHeight="1">
      <c r="AX586" s="67"/>
    </row>
    <row r="587" ht="15.75" customHeight="1">
      <c r="AX587" s="67"/>
    </row>
    <row r="588" ht="15.75" customHeight="1">
      <c r="AX588" s="67"/>
    </row>
    <row r="589" ht="15.75" customHeight="1">
      <c r="AX589" s="67"/>
    </row>
    <row r="590" ht="15.75" customHeight="1">
      <c r="AX590" s="67"/>
    </row>
    <row r="591" ht="15.75" customHeight="1">
      <c r="AX591" s="67"/>
    </row>
    <row r="592" ht="15.75" customHeight="1">
      <c r="AX592" s="67"/>
    </row>
    <row r="593" ht="15.75" customHeight="1">
      <c r="AX593" s="67"/>
    </row>
    <row r="594" ht="15.75" customHeight="1">
      <c r="AX594" s="67"/>
    </row>
    <row r="595" ht="15.75" customHeight="1">
      <c r="AX595" s="67"/>
    </row>
    <row r="596" ht="15.75" customHeight="1">
      <c r="AX596" s="67"/>
    </row>
    <row r="597" ht="15.75" customHeight="1">
      <c r="AX597" s="67"/>
    </row>
    <row r="598" ht="15.75" customHeight="1">
      <c r="AX598" s="67"/>
    </row>
    <row r="599" ht="15.75" customHeight="1">
      <c r="AX599" s="67"/>
    </row>
    <row r="600" ht="15.75" customHeight="1">
      <c r="AX600" s="67"/>
    </row>
    <row r="601" ht="15.75" customHeight="1">
      <c r="AX601" s="67"/>
    </row>
    <row r="602" ht="15.75" customHeight="1">
      <c r="AX602" s="67"/>
    </row>
    <row r="603" ht="15.75" customHeight="1">
      <c r="AX603" s="67"/>
    </row>
    <row r="604" ht="15.75" customHeight="1">
      <c r="AX604" s="67"/>
    </row>
    <row r="605" ht="15.75" customHeight="1">
      <c r="AX605" s="67"/>
    </row>
    <row r="606" ht="15.75" customHeight="1">
      <c r="AX606" s="67"/>
    </row>
    <row r="607" ht="15.75" customHeight="1">
      <c r="AX607" s="67"/>
    </row>
    <row r="608" ht="15.75" customHeight="1">
      <c r="AX608" s="67"/>
    </row>
    <row r="609" ht="15.75" customHeight="1">
      <c r="AX609" s="67"/>
    </row>
    <row r="610" ht="15.75" customHeight="1">
      <c r="AX610" s="67"/>
    </row>
    <row r="611" ht="15.75" customHeight="1">
      <c r="AX611" s="67"/>
    </row>
    <row r="612" ht="15.75" customHeight="1">
      <c r="AX612" s="67"/>
    </row>
    <row r="613" ht="15.75" customHeight="1">
      <c r="AX613" s="67"/>
    </row>
    <row r="614" ht="15.75" customHeight="1">
      <c r="AX614" s="67"/>
    </row>
    <row r="615" ht="15.75" customHeight="1">
      <c r="AX615" s="67"/>
    </row>
    <row r="616" ht="15.75" customHeight="1">
      <c r="AX616" s="67"/>
    </row>
    <row r="617" ht="15.75" customHeight="1">
      <c r="AX617" s="67"/>
    </row>
    <row r="618" ht="15.75" customHeight="1">
      <c r="AX618" s="67"/>
    </row>
    <row r="619" ht="15.75" customHeight="1">
      <c r="AX619" s="67"/>
    </row>
    <row r="620" ht="15.75" customHeight="1">
      <c r="AX620" s="67"/>
    </row>
    <row r="621" ht="15.75" customHeight="1">
      <c r="AX621" s="67"/>
    </row>
    <row r="622" ht="15.75" customHeight="1">
      <c r="AX622" s="67"/>
    </row>
    <row r="623" ht="15.75" customHeight="1">
      <c r="AX623" s="67"/>
    </row>
    <row r="624" ht="15.75" customHeight="1">
      <c r="AX624" s="67"/>
    </row>
    <row r="625" ht="15.75" customHeight="1">
      <c r="AX625" s="67"/>
    </row>
    <row r="626" ht="15.75" customHeight="1">
      <c r="AX626" s="67"/>
    </row>
    <row r="627" ht="15.75" customHeight="1">
      <c r="AX627" s="67"/>
    </row>
    <row r="628" ht="15.75" customHeight="1">
      <c r="AX628" s="67"/>
    </row>
    <row r="629" ht="15.75" customHeight="1">
      <c r="AX629" s="67"/>
    </row>
    <row r="630" ht="15.75" customHeight="1">
      <c r="AX630" s="67"/>
    </row>
    <row r="631" ht="15.75" customHeight="1">
      <c r="AX631" s="67"/>
    </row>
    <row r="632" ht="15.75" customHeight="1">
      <c r="AX632" s="67"/>
    </row>
    <row r="633" ht="15.75" customHeight="1">
      <c r="AX633" s="67"/>
    </row>
    <row r="634" ht="15.75" customHeight="1">
      <c r="AX634" s="67"/>
    </row>
    <row r="635" ht="15.75" customHeight="1">
      <c r="AX635" s="67"/>
    </row>
    <row r="636" ht="15.75" customHeight="1">
      <c r="AX636" s="67"/>
    </row>
    <row r="637" ht="15.75" customHeight="1">
      <c r="AX637" s="67"/>
    </row>
    <row r="638" ht="15.75" customHeight="1">
      <c r="AX638" s="67"/>
    </row>
    <row r="639" ht="15.75" customHeight="1">
      <c r="AX639" s="67"/>
    </row>
    <row r="640" ht="15.75" customHeight="1">
      <c r="AX640" s="67"/>
    </row>
    <row r="641" ht="15.75" customHeight="1">
      <c r="AX641" s="67"/>
    </row>
    <row r="642" ht="15.75" customHeight="1">
      <c r="AX642" s="67"/>
    </row>
    <row r="643" ht="15.75" customHeight="1">
      <c r="AX643" s="67"/>
    </row>
    <row r="644" ht="15.75" customHeight="1">
      <c r="AX644" s="67"/>
    </row>
    <row r="645" ht="15.75" customHeight="1">
      <c r="AX645" s="67"/>
    </row>
    <row r="646" ht="15.75" customHeight="1">
      <c r="AX646" s="67"/>
    </row>
    <row r="647" ht="15.75" customHeight="1">
      <c r="AX647" s="67"/>
    </row>
    <row r="648" ht="15.75" customHeight="1">
      <c r="AX648" s="67"/>
    </row>
    <row r="649" ht="15.75" customHeight="1">
      <c r="AX649" s="67"/>
    </row>
    <row r="650" ht="15.75" customHeight="1">
      <c r="AX650" s="67"/>
    </row>
    <row r="651" ht="15.75" customHeight="1">
      <c r="AX651" s="67"/>
    </row>
    <row r="652" ht="15.75" customHeight="1">
      <c r="AX652" s="67"/>
    </row>
    <row r="653" ht="15.75" customHeight="1">
      <c r="AX653" s="67"/>
    </row>
    <row r="654" ht="15.75" customHeight="1">
      <c r="AX654" s="67"/>
    </row>
    <row r="655" ht="15.75" customHeight="1">
      <c r="AX655" s="67"/>
    </row>
    <row r="656" ht="15.75" customHeight="1">
      <c r="AX656" s="67"/>
    </row>
    <row r="657" ht="15.75" customHeight="1">
      <c r="AX657" s="67"/>
    </row>
    <row r="658" ht="15.75" customHeight="1">
      <c r="AX658" s="67"/>
    </row>
    <row r="659" ht="15.75" customHeight="1">
      <c r="AX659" s="67"/>
    </row>
    <row r="660" ht="15.75" customHeight="1">
      <c r="AX660" s="67"/>
    </row>
    <row r="661" ht="15.75" customHeight="1">
      <c r="AX661" s="67"/>
    </row>
    <row r="662" ht="15.75" customHeight="1">
      <c r="AX662" s="67"/>
    </row>
    <row r="663" ht="15.75" customHeight="1">
      <c r="AX663" s="67"/>
    </row>
    <row r="664" ht="15.75" customHeight="1">
      <c r="AX664" s="67"/>
    </row>
    <row r="665" ht="15.75" customHeight="1">
      <c r="AX665" s="67"/>
    </row>
    <row r="666" ht="15.75" customHeight="1">
      <c r="AX666" s="67"/>
    </row>
    <row r="667" ht="15.75" customHeight="1">
      <c r="AX667" s="67"/>
    </row>
    <row r="668" ht="15.75" customHeight="1">
      <c r="AX668" s="67"/>
    </row>
    <row r="669" ht="15.75" customHeight="1">
      <c r="AX669" s="67"/>
    </row>
    <row r="670" ht="15.75" customHeight="1">
      <c r="AX670" s="67"/>
    </row>
    <row r="671" ht="15.75" customHeight="1">
      <c r="AX671" s="67"/>
    </row>
    <row r="672" ht="15.75" customHeight="1">
      <c r="AX672" s="67"/>
    </row>
    <row r="673" ht="15.75" customHeight="1">
      <c r="AX673" s="67"/>
    </row>
    <row r="674" ht="15.75" customHeight="1">
      <c r="AX674" s="67"/>
    </row>
    <row r="675" ht="15.75" customHeight="1">
      <c r="AX675" s="67"/>
    </row>
    <row r="676" ht="15.75" customHeight="1">
      <c r="AX676" s="67"/>
    </row>
    <row r="677" ht="15.75" customHeight="1">
      <c r="AX677" s="67"/>
    </row>
    <row r="678" ht="15.75" customHeight="1">
      <c r="AX678" s="67"/>
    </row>
    <row r="679" ht="15.75" customHeight="1">
      <c r="AX679" s="67"/>
    </row>
    <row r="680" ht="15.75" customHeight="1">
      <c r="AX680" s="67"/>
    </row>
    <row r="681" ht="15.75" customHeight="1">
      <c r="AX681" s="67"/>
    </row>
    <row r="682" ht="15.75" customHeight="1">
      <c r="AX682" s="67"/>
    </row>
    <row r="683" ht="15.75" customHeight="1">
      <c r="AX683" s="67"/>
    </row>
    <row r="684" ht="15.75" customHeight="1">
      <c r="AX684" s="67"/>
    </row>
    <row r="685" ht="15.75" customHeight="1">
      <c r="AX685" s="67"/>
    </row>
    <row r="686" ht="15.75" customHeight="1">
      <c r="AX686" s="67"/>
    </row>
    <row r="687" ht="15.75" customHeight="1">
      <c r="AX687" s="67"/>
    </row>
    <row r="688" ht="15.75" customHeight="1">
      <c r="AX688" s="67"/>
    </row>
    <row r="689" ht="15.75" customHeight="1">
      <c r="AX689" s="67"/>
    </row>
    <row r="690" ht="15.75" customHeight="1">
      <c r="AX690" s="67"/>
    </row>
    <row r="691" ht="15.75" customHeight="1">
      <c r="AX691" s="67"/>
    </row>
    <row r="692" ht="15.75" customHeight="1">
      <c r="AX692" s="67"/>
    </row>
    <row r="693" ht="15.75" customHeight="1">
      <c r="AX693" s="67"/>
    </row>
    <row r="694" ht="15.75" customHeight="1">
      <c r="AX694" s="67"/>
    </row>
    <row r="695" ht="15.75" customHeight="1">
      <c r="AX695" s="67"/>
    </row>
    <row r="696" ht="15.75" customHeight="1">
      <c r="AX696" s="67"/>
    </row>
    <row r="697" ht="15.75" customHeight="1">
      <c r="AX697" s="67"/>
    </row>
    <row r="698" ht="15.75" customHeight="1">
      <c r="AX698" s="67"/>
    </row>
    <row r="699" ht="15.75" customHeight="1">
      <c r="AX699" s="67"/>
    </row>
    <row r="700" ht="15.75" customHeight="1">
      <c r="AX700" s="67"/>
    </row>
    <row r="701" ht="15.75" customHeight="1">
      <c r="AX701" s="67"/>
    </row>
    <row r="702" ht="15.75" customHeight="1">
      <c r="AX702" s="67"/>
    </row>
    <row r="703" ht="15.75" customHeight="1">
      <c r="AX703" s="67"/>
    </row>
    <row r="704" ht="15.75" customHeight="1">
      <c r="AX704" s="67"/>
    </row>
    <row r="705" ht="15.75" customHeight="1">
      <c r="AX705" s="67"/>
    </row>
    <row r="706" ht="15.75" customHeight="1">
      <c r="AX706" s="67"/>
    </row>
    <row r="707" ht="15.75" customHeight="1">
      <c r="AX707" s="67"/>
    </row>
    <row r="708" ht="15.75" customHeight="1">
      <c r="AX708" s="67"/>
    </row>
    <row r="709" ht="15.75" customHeight="1">
      <c r="AX709" s="67"/>
    </row>
    <row r="710" ht="15.75" customHeight="1">
      <c r="AX710" s="67"/>
    </row>
    <row r="711" ht="15.75" customHeight="1">
      <c r="AX711" s="67"/>
    </row>
    <row r="712" ht="15.75" customHeight="1">
      <c r="AX712" s="67"/>
    </row>
    <row r="713" ht="15.75" customHeight="1">
      <c r="AX713" s="67"/>
    </row>
    <row r="714" ht="15.75" customHeight="1">
      <c r="AX714" s="67"/>
    </row>
    <row r="715" ht="15.75" customHeight="1">
      <c r="AX715" s="67"/>
    </row>
    <row r="716" ht="15.75" customHeight="1">
      <c r="AX716" s="67"/>
    </row>
    <row r="717" ht="15.75" customHeight="1">
      <c r="AX717" s="67"/>
    </row>
    <row r="718" ht="15.75" customHeight="1">
      <c r="AX718" s="67"/>
    </row>
    <row r="719" ht="15.75" customHeight="1">
      <c r="AX719" s="67"/>
    </row>
    <row r="720" ht="15.75" customHeight="1">
      <c r="AX720" s="67"/>
    </row>
    <row r="721" ht="15.75" customHeight="1">
      <c r="AX721" s="67"/>
    </row>
    <row r="722" ht="15.75" customHeight="1">
      <c r="AX722" s="67"/>
    </row>
    <row r="723" ht="15.75" customHeight="1">
      <c r="AX723" s="67"/>
    </row>
    <row r="724" ht="15.75" customHeight="1">
      <c r="AX724" s="67"/>
    </row>
    <row r="725" ht="15.75" customHeight="1">
      <c r="AX725" s="67"/>
    </row>
    <row r="726" ht="15.75" customHeight="1">
      <c r="AX726" s="67"/>
    </row>
    <row r="727" ht="15.75" customHeight="1">
      <c r="AX727" s="67"/>
    </row>
    <row r="728" ht="15.75" customHeight="1">
      <c r="AX728" s="67"/>
    </row>
    <row r="729" ht="15.75" customHeight="1">
      <c r="AX729" s="67"/>
    </row>
    <row r="730" ht="15.75" customHeight="1">
      <c r="AX730" s="67"/>
    </row>
    <row r="731" ht="15.75" customHeight="1">
      <c r="AX731" s="67"/>
    </row>
    <row r="732" ht="15.75" customHeight="1">
      <c r="AX732" s="67"/>
    </row>
    <row r="733" ht="15.75" customHeight="1">
      <c r="AX733" s="67"/>
    </row>
    <row r="734" ht="15.75" customHeight="1">
      <c r="AX734" s="67"/>
    </row>
    <row r="735" ht="15.75" customHeight="1">
      <c r="AX735" s="67"/>
    </row>
    <row r="736" ht="15.75" customHeight="1">
      <c r="AX736" s="67"/>
    </row>
    <row r="737" ht="15.75" customHeight="1">
      <c r="AX737" s="67"/>
    </row>
    <row r="738" ht="15.75" customHeight="1">
      <c r="AX738" s="67"/>
    </row>
    <row r="739" ht="15.75" customHeight="1">
      <c r="AX739" s="67"/>
    </row>
    <row r="740" ht="15.75" customHeight="1">
      <c r="AX740" s="67"/>
    </row>
    <row r="741" ht="15.75" customHeight="1">
      <c r="AX741" s="67"/>
    </row>
    <row r="742" ht="15.75" customHeight="1">
      <c r="AX742" s="67"/>
    </row>
    <row r="743" ht="15.75" customHeight="1">
      <c r="AX743" s="67"/>
    </row>
    <row r="744" ht="15.75" customHeight="1">
      <c r="AX744" s="67"/>
    </row>
    <row r="745" ht="15.75" customHeight="1">
      <c r="AX745" s="67"/>
    </row>
    <row r="746" ht="15.75" customHeight="1">
      <c r="AX746" s="67"/>
    </row>
    <row r="747" ht="15.75" customHeight="1">
      <c r="AX747" s="67"/>
    </row>
    <row r="748" ht="15.75" customHeight="1">
      <c r="AX748" s="67"/>
    </row>
    <row r="749" ht="15.75" customHeight="1">
      <c r="AX749" s="67"/>
    </row>
    <row r="750" ht="15.75" customHeight="1">
      <c r="AX750" s="67"/>
    </row>
    <row r="751" ht="15.75" customHeight="1">
      <c r="AX751" s="67"/>
    </row>
    <row r="752" ht="15.75" customHeight="1">
      <c r="AX752" s="67"/>
    </row>
    <row r="753" ht="15.75" customHeight="1">
      <c r="AX753" s="67"/>
    </row>
    <row r="754" ht="15.75" customHeight="1">
      <c r="AX754" s="67"/>
    </row>
    <row r="755" ht="15.75" customHeight="1">
      <c r="AX755" s="67"/>
    </row>
    <row r="756" ht="15.75" customHeight="1">
      <c r="AX756" s="67"/>
    </row>
    <row r="757" ht="15.75" customHeight="1">
      <c r="AX757" s="67"/>
    </row>
    <row r="758" ht="15.75" customHeight="1">
      <c r="AX758" s="67"/>
    </row>
    <row r="759" ht="15.75" customHeight="1">
      <c r="AX759" s="67"/>
    </row>
    <row r="760" ht="15.75" customHeight="1">
      <c r="AX760" s="67"/>
    </row>
    <row r="761" ht="15.75" customHeight="1">
      <c r="AX761" s="67"/>
    </row>
    <row r="762" ht="15.75" customHeight="1">
      <c r="AX762" s="67"/>
    </row>
    <row r="763" ht="15.75" customHeight="1">
      <c r="AX763" s="67"/>
    </row>
    <row r="764" ht="15.75" customHeight="1">
      <c r="AX764" s="67"/>
    </row>
    <row r="765" ht="15.75" customHeight="1">
      <c r="AX765" s="67"/>
    </row>
    <row r="766" ht="15.75" customHeight="1">
      <c r="AX766" s="67"/>
    </row>
    <row r="767" ht="15.75" customHeight="1">
      <c r="AX767" s="67"/>
    </row>
    <row r="768" ht="15.75" customHeight="1">
      <c r="AX768" s="67"/>
    </row>
    <row r="769" ht="15.75" customHeight="1">
      <c r="AX769" s="67"/>
    </row>
    <row r="770" ht="15.75" customHeight="1">
      <c r="AX770" s="67"/>
    </row>
    <row r="771" ht="15.75" customHeight="1">
      <c r="AX771" s="67"/>
    </row>
    <row r="772" ht="15.75" customHeight="1">
      <c r="AX772" s="67"/>
    </row>
    <row r="773" ht="15.75" customHeight="1">
      <c r="AX773" s="67"/>
    </row>
    <row r="774" ht="15.75" customHeight="1">
      <c r="AX774" s="67"/>
    </row>
    <row r="775" ht="15.75" customHeight="1">
      <c r="AX775" s="67"/>
    </row>
    <row r="776" ht="15.75" customHeight="1">
      <c r="AX776" s="67"/>
    </row>
    <row r="777" ht="15.75" customHeight="1">
      <c r="AX777" s="67"/>
    </row>
    <row r="778" ht="15.75" customHeight="1">
      <c r="AX778" s="67"/>
    </row>
    <row r="779" ht="15.75" customHeight="1">
      <c r="AX779" s="67"/>
    </row>
    <row r="780" ht="15.75" customHeight="1">
      <c r="AX780" s="67"/>
    </row>
    <row r="781" ht="15.75" customHeight="1">
      <c r="AX781" s="67"/>
    </row>
    <row r="782" ht="15.75" customHeight="1">
      <c r="AX782" s="67"/>
    </row>
    <row r="783" ht="15.75" customHeight="1">
      <c r="AX783" s="67"/>
    </row>
    <row r="784" ht="15.75" customHeight="1">
      <c r="AX784" s="67"/>
    </row>
    <row r="785" ht="15.75" customHeight="1">
      <c r="AX785" s="67"/>
    </row>
    <row r="786" ht="15.75" customHeight="1">
      <c r="AX786" s="67"/>
    </row>
    <row r="787" ht="15.75" customHeight="1">
      <c r="AX787" s="67"/>
    </row>
    <row r="788" ht="15.75" customHeight="1">
      <c r="AX788" s="67"/>
    </row>
    <row r="789" ht="15.75" customHeight="1">
      <c r="AX789" s="67"/>
    </row>
    <row r="790" ht="15.75" customHeight="1">
      <c r="AX790" s="67"/>
    </row>
    <row r="791" ht="15.75" customHeight="1">
      <c r="AX791" s="67"/>
    </row>
    <row r="792" ht="15.75" customHeight="1">
      <c r="AX792" s="67"/>
    </row>
    <row r="793" ht="15.75" customHeight="1">
      <c r="AX793" s="67"/>
    </row>
    <row r="794" ht="15.75" customHeight="1">
      <c r="AX794" s="67"/>
    </row>
    <row r="795" ht="15.75" customHeight="1">
      <c r="AX795" s="67"/>
    </row>
    <row r="796" ht="15.75" customHeight="1">
      <c r="AX796" s="67"/>
    </row>
    <row r="797" ht="15.75" customHeight="1">
      <c r="AX797" s="67"/>
    </row>
    <row r="798" ht="15.75" customHeight="1">
      <c r="AX798" s="67"/>
    </row>
    <row r="799" ht="15.75" customHeight="1">
      <c r="AX799" s="67"/>
    </row>
    <row r="800" ht="15.75" customHeight="1">
      <c r="AX800" s="67"/>
    </row>
    <row r="801" ht="15.75" customHeight="1">
      <c r="AX801" s="67"/>
    </row>
    <row r="802" ht="15.75" customHeight="1">
      <c r="AX802" s="67"/>
    </row>
    <row r="803" ht="15.75" customHeight="1">
      <c r="AX803" s="67"/>
    </row>
    <row r="804" ht="15.75" customHeight="1">
      <c r="AX804" s="67"/>
    </row>
    <row r="805" ht="15.75" customHeight="1">
      <c r="AX805" s="67"/>
    </row>
    <row r="806" ht="15.75" customHeight="1">
      <c r="AX806" s="67"/>
    </row>
    <row r="807" ht="15.75" customHeight="1">
      <c r="AX807" s="67"/>
    </row>
    <row r="808" ht="15.75" customHeight="1">
      <c r="AX808" s="67"/>
    </row>
    <row r="809" ht="15.75" customHeight="1">
      <c r="AX809" s="67"/>
    </row>
    <row r="810" ht="15.75" customHeight="1">
      <c r="AX810" s="67"/>
    </row>
    <row r="811" ht="15.75" customHeight="1">
      <c r="AX811" s="67"/>
    </row>
    <row r="812" ht="15.75" customHeight="1">
      <c r="AX812" s="67"/>
    </row>
    <row r="813" ht="15.75" customHeight="1">
      <c r="AX813" s="67"/>
    </row>
    <row r="814" ht="15.75" customHeight="1">
      <c r="AX814" s="67"/>
    </row>
    <row r="815" ht="15.75" customHeight="1">
      <c r="AX815" s="67"/>
    </row>
    <row r="816" ht="15.75" customHeight="1">
      <c r="AX816" s="67"/>
    </row>
    <row r="817" ht="15.75" customHeight="1">
      <c r="AX817" s="67"/>
    </row>
    <row r="818" ht="15.75" customHeight="1">
      <c r="AX818" s="67"/>
    </row>
    <row r="819" ht="15.75" customHeight="1">
      <c r="AX819" s="67"/>
    </row>
    <row r="820" ht="15.75" customHeight="1">
      <c r="AX820" s="67"/>
    </row>
    <row r="821" ht="15.75" customHeight="1">
      <c r="AX821" s="67"/>
    </row>
    <row r="822" ht="15.75" customHeight="1">
      <c r="AX822" s="67"/>
    </row>
    <row r="823" ht="15.75" customHeight="1">
      <c r="AX823" s="67"/>
    </row>
    <row r="824" ht="15.75" customHeight="1">
      <c r="AX824" s="67"/>
    </row>
    <row r="825" ht="15.75" customHeight="1">
      <c r="AX825" s="67"/>
    </row>
    <row r="826" ht="15.75" customHeight="1">
      <c r="AX826" s="67"/>
    </row>
    <row r="827" ht="15.75" customHeight="1">
      <c r="AX827" s="67"/>
    </row>
    <row r="828" ht="15.75" customHeight="1">
      <c r="AX828" s="67"/>
    </row>
    <row r="829" ht="15.75" customHeight="1">
      <c r="AX829" s="67"/>
    </row>
    <row r="830" ht="15.75" customHeight="1">
      <c r="AX830" s="67"/>
    </row>
    <row r="831" ht="15.75" customHeight="1">
      <c r="AX831" s="67"/>
    </row>
    <row r="832" ht="15.75" customHeight="1">
      <c r="AX832" s="67"/>
    </row>
    <row r="833" ht="15.75" customHeight="1">
      <c r="AX833" s="67"/>
    </row>
    <row r="834" ht="15.75" customHeight="1">
      <c r="AX834" s="67"/>
    </row>
    <row r="835" ht="15.75" customHeight="1">
      <c r="AX835" s="67"/>
    </row>
    <row r="836" ht="15.75" customHeight="1">
      <c r="AX836" s="67"/>
    </row>
    <row r="837" ht="15.75" customHeight="1">
      <c r="AX837" s="67"/>
    </row>
    <row r="838" ht="15.75" customHeight="1">
      <c r="AX838" s="67"/>
    </row>
    <row r="839" ht="15.75" customHeight="1">
      <c r="AX839" s="67"/>
    </row>
    <row r="840" ht="15.75" customHeight="1">
      <c r="AX840" s="67"/>
    </row>
    <row r="841" ht="15.75" customHeight="1">
      <c r="AX841" s="67"/>
    </row>
    <row r="842" ht="15.75" customHeight="1">
      <c r="AX842" s="67"/>
    </row>
    <row r="843" ht="15.75" customHeight="1">
      <c r="AX843" s="67"/>
    </row>
    <row r="844" ht="15.75" customHeight="1">
      <c r="AX844" s="67"/>
    </row>
    <row r="845" ht="15.75" customHeight="1">
      <c r="AX845" s="67"/>
    </row>
    <row r="846" ht="15.75" customHeight="1">
      <c r="AX846" s="67"/>
    </row>
    <row r="847" ht="15.75" customHeight="1">
      <c r="AX847" s="67"/>
    </row>
    <row r="848" ht="15.75" customHeight="1">
      <c r="AX848" s="67"/>
    </row>
    <row r="849" ht="15.75" customHeight="1">
      <c r="AX849" s="67"/>
    </row>
    <row r="850" ht="15.75" customHeight="1">
      <c r="AX850" s="67"/>
    </row>
    <row r="851" ht="15.75" customHeight="1">
      <c r="AX851" s="67"/>
    </row>
    <row r="852" ht="15.75" customHeight="1">
      <c r="AX852" s="67"/>
    </row>
    <row r="853" ht="15.75" customHeight="1">
      <c r="AX853" s="67"/>
    </row>
    <row r="854" ht="15.75" customHeight="1">
      <c r="AX854" s="67"/>
    </row>
    <row r="855" ht="15.75" customHeight="1">
      <c r="AX855" s="67"/>
    </row>
    <row r="856" ht="15.75" customHeight="1">
      <c r="AX856" s="67"/>
    </row>
    <row r="857" ht="15.75" customHeight="1">
      <c r="AX857" s="67"/>
    </row>
    <row r="858" ht="15.75" customHeight="1">
      <c r="AX858" s="67"/>
    </row>
    <row r="859" ht="15.75" customHeight="1">
      <c r="AX859" s="67"/>
    </row>
    <row r="860" ht="15.75" customHeight="1">
      <c r="AX860" s="67"/>
    </row>
    <row r="861" ht="15.75" customHeight="1">
      <c r="AX861" s="67"/>
    </row>
    <row r="862" ht="15.75" customHeight="1">
      <c r="AX862" s="67"/>
    </row>
    <row r="863" ht="15.75" customHeight="1">
      <c r="AX863" s="67"/>
    </row>
    <row r="864" ht="15.75" customHeight="1">
      <c r="AX864" s="67"/>
    </row>
    <row r="865" ht="15.75" customHeight="1">
      <c r="AX865" s="67"/>
    </row>
    <row r="866" ht="15.75" customHeight="1">
      <c r="AX866" s="67"/>
    </row>
    <row r="867" ht="15.75" customHeight="1">
      <c r="AX867" s="67"/>
    </row>
    <row r="868" ht="15.75" customHeight="1">
      <c r="AX868" s="67"/>
    </row>
    <row r="869" ht="15.75" customHeight="1">
      <c r="AX869" s="67"/>
    </row>
    <row r="870" ht="15.75" customHeight="1">
      <c r="AX870" s="67"/>
    </row>
    <row r="871" ht="15.75" customHeight="1">
      <c r="AX871" s="67"/>
    </row>
    <row r="872" ht="15.75" customHeight="1">
      <c r="AX872" s="67"/>
    </row>
    <row r="873" ht="15.75" customHeight="1">
      <c r="AX873" s="67"/>
    </row>
    <row r="874" ht="15.75" customHeight="1">
      <c r="AX874" s="67"/>
    </row>
    <row r="875" ht="15.75" customHeight="1">
      <c r="AX875" s="67"/>
    </row>
    <row r="876" ht="15.75" customHeight="1">
      <c r="AX876" s="67"/>
    </row>
    <row r="877" ht="15.75" customHeight="1">
      <c r="AX877" s="67"/>
    </row>
    <row r="878" ht="15.75" customHeight="1">
      <c r="AX878" s="67"/>
    </row>
    <row r="879" ht="15.75" customHeight="1">
      <c r="AX879" s="67"/>
    </row>
    <row r="880" ht="15.75" customHeight="1">
      <c r="AX880" s="67"/>
    </row>
    <row r="881" ht="15.75" customHeight="1">
      <c r="AX881" s="67"/>
    </row>
    <row r="882" ht="15.75" customHeight="1">
      <c r="AX882" s="67"/>
    </row>
    <row r="883" ht="15.75" customHeight="1">
      <c r="AX883" s="67"/>
    </row>
    <row r="884" ht="15.75" customHeight="1">
      <c r="AX884" s="67"/>
    </row>
    <row r="885" ht="15.75" customHeight="1">
      <c r="AX885" s="67"/>
    </row>
    <row r="886" ht="15.75" customHeight="1">
      <c r="AX886" s="67"/>
    </row>
    <row r="887" ht="15.75" customHeight="1">
      <c r="AX887" s="67"/>
    </row>
    <row r="888" ht="15.75" customHeight="1">
      <c r="AX888" s="67"/>
    </row>
    <row r="889" ht="15.75" customHeight="1">
      <c r="AX889" s="67"/>
    </row>
    <row r="890" ht="15.75" customHeight="1">
      <c r="AX890" s="67"/>
    </row>
    <row r="891" ht="15.75" customHeight="1">
      <c r="AX891" s="67"/>
    </row>
    <row r="892" ht="15.75" customHeight="1">
      <c r="AX892" s="67"/>
    </row>
    <row r="893" ht="15.75" customHeight="1">
      <c r="AX893" s="67"/>
    </row>
    <row r="894" ht="15.75" customHeight="1">
      <c r="AX894" s="67"/>
    </row>
    <row r="895" ht="15.75" customHeight="1">
      <c r="AX895" s="67"/>
    </row>
    <row r="896" ht="15.75" customHeight="1">
      <c r="AX896" s="67"/>
    </row>
    <row r="897" ht="15.75" customHeight="1">
      <c r="AX897" s="67"/>
    </row>
    <row r="898" ht="15.75" customHeight="1">
      <c r="AX898" s="67"/>
    </row>
    <row r="899" ht="15.75" customHeight="1">
      <c r="AX899" s="67"/>
    </row>
    <row r="900" ht="15.75" customHeight="1">
      <c r="AX900" s="67"/>
    </row>
    <row r="901" ht="15.75" customHeight="1">
      <c r="AX901" s="67"/>
    </row>
    <row r="902" ht="15.75" customHeight="1">
      <c r="AX902" s="67"/>
    </row>
    <row r="903" ht="15.75" customHeight="1">
      <c r="AX903" s="67"/>
    </row>
    <row r="904" ht="15.75" customHeight="1">
      <c r="AX904" s="67"/>
    </row>
    <row r="905" ht="15.75" customHeight="1">
      <c r="AX905" s="67"/>
    </row>
    <row r="906" ht="15.75" customHeight="1">
      <c r="AX906" s="67"/>
    </row>
    <row r="907" ht="15.75" customHeight="1">
      <c r="AX907" s="67"/>
    </row>
    <row r="908" ht="15.75" customHeight="1">
      <c r="AX908" s="67"/>
    </row>
    <row r="909" ht="15.75" customHeight="1">
      <c r="AX909" s="67"/>
    </row>
    <row r="910" ht="15.75" customHeight="1">
      <c r="AX910" s="67"/>
    </row>
    <row r="911" ht="15.75" customHeight="1">
      <c r="AX911" s="67"/>
    </row>
    <row r="912" ht="15.75" customHeight="1">
      <c r="AX912" s="67"/>
    </row>
    <row r="913" ht="15.75" customHeight="1">
      <c r="AX913" s="67"/>
    </row>
    <row r="914" ht="15.75" customHeight="1">
      <c r="AX914" s="67"/>
    </row>
    <row r="915" ht="15.75" customHeight="1">
      <c r="AX915" s="67"/>
    </row>
    <row r="916" ht="15.75" customHeight="1">
      <c r="AX916" s="67"/>
    </row>
    <row r="917" ht="15.75" customHeight="1">
      <c r="AX917" s="67"/>
    </row>
    <row r="918" ht="15.75" customHeight="1">
      <c r="AX918" s="67"/>
    </row>
    <row r="919" ht="15.75" customHeight="1">
      <c r="AX919" s="67"/>
    </row>
    <row r="920" ht="15.75" customHeight="1">
      <c r="AX920" s="67"/>
    </row>
    <row r="921" ht="15.75" customHeight="1">
      <c r="AX921" s="67"/>
    </row>
    <row r="922" ht="15.75" customHeight="1">
      <c r="AX922" s="67"/>
    </row>
    <row r="923" ht="15.75" customHeight="1">
      <c r="AX923" s="67"/>
    </row>
    <row r="924" ht="15.75" customHeight="1">
      <c r="AX924" s="67"/>
    </row>
    <row r="925" ht="15.75" customHeight="1">
      <c r="AX925" s="67"/>
    </row>
    <row r="926" ht="15.75" customHeight="1">
      <c r="AX926" s="67"/>
    </row>
    <row r="927" ht="15.75" customHeight="1">
      <c r="AX927" s="67"/>
    </row>
    <row r="928" ht="15.75" customHeight="1">
      <c r="AX928" s="67"/>
    </row>
    <row r="929" ht="15.75" customHeight="1">
      <c r="AX929" s="67"/>
    </row>
    <row r="930" ht="15.75" customHeight="1">
      <c r="AX930" s="67"/>
    </row>
    <row r="931" ht="15.75" customHeight="1">
      <c r="AX931" s="67"/>
    </row>
    <row r="932" ht="15.75" customHeight="1">
      <c r="AX932" s="67"/>
    </row>
    <row r="933" ht="15.75" customHeight="1">
      <c r="AX933" s="67"/>
    </row>
    <row r="934" ht="15.75" customHeight="1">
      <c r="AX934" s="67"/>
    </row>
    <row r="935" ht="15.75" customHeight="1">
      <c r="AX935" s="67"/>
    </row>
    <row r="936" ht="15.75" customHeight="1">
      <c r="AX936" s="67"/>
    </row>
    <row r="937" ht="15.75" customHeight="1">
      <c r="AX937" s="67"/>
    </row>
    <row r="938" ht="15.75" customHeight="1">
      <c r="AX938" s="67"/>
    </row>
    <row r="939" ht="15.75" customHeight="1">
      <c r="AX939" s="67"/>
    </row>
    <row r="940" ht="15.75" customHeight="1">
      <c r="AX940" s="67"/>
    </row>
    <row r="941" ht="15.75" customHeight="1">
      <c r="AX941" s="67"/>
    </row>
    <row r="942" ht="15.75" customHeight="1">
      <c r="AX942" s="67"/>
    </row>
    <row r="943" ht="15.75" customHeight="1">
      <c r="AX943" s="67"/>
    </row>
    <row r="944" ht="15.75" customHeight="1">
      <c r="AX944" s="67"/>
    </row>
    <row r="945" ht="15.75" customHeight="1">
      <c r="AX945" s="67"/>
    </row>
    <row r="946" ht="15.75" customHeight="1">
      <c r="AX946" s="67"/>
    </row>
    <row r="947" ht="15.75" customHeight="1">
      <c r="AX947" s="67"/>
    </row>
    <row r="948" ht="15.75" customHeight="1">
      <c r="AX948" s="67"/>
    </row>
    <row r="949" ht="15.75" customHeight="1">
      <c r="AX949" s="67"/>
    </row>
    <row r="950" ht="15.75" customHeight="1">
      <c r="AX950" s="67"/>
    </row>
    <row r="951" ht="15.75" customHeight="1">
      <c r="AX951" s="67"/>
    </row>
    <row r="952" ht="15.75" customHeight="1">
      <c r="AX952" s="67"/>
    </row>
    <row r="953" ht="15.75" customHeight="1">
      <c r="AX953" s="67"/>
    </row>
    <row r="954" ht="15.75" customHeight="1">
      <c r="AX954" s="67"/>
    </row>
    <row r="955" ht="15.75" customHeight="1">
      <c r="AX955" s="67"/>
    </row>
    <row r="956" ht="15.75" customHeight="1">
      <c r="AX956" s="67"/>
    </row>
    <row r="957" ht="15.75" customHeight="1">
      <c r="AX957" s="67"/>
    </row>
    <row r="958" ht="15.75" customHeight="1">
      <c r="AX958" s="67"/>
    </row>
    <row r="959" ht="15.75" customHeight="1">
      <c r="AX959" s="67"/>
    </row>
    <row r="960" ht="15.75" customHeight="1">
      <c r="AX960" s="67"/>
    </row>
    <row r="961" ht="15.75" customHeight="1">
      <c r="AX961" s="67"/>
    </row>
    <row r="962" ht="15.75" customHeight="1">
      <c r="AX962" s="67"/>
    </row>
    <row r="963" ht="15.75" customHeight="1">
      <c r="AX963" s="67"/>
    </row>
    <row r="964" ht="15.75" customHeight="1">
      <c r="AX964" s="67"/>
    </row>
    <row r="965" ht="15.75" customHeight="1">
      <c r="AX965" s="67"/>
    </row>
    <row r="966" ht="15.75" customHeight="1">
      <c r="AX966" s="67"/>
    </row>
    <row r="967" ht="15.75" customHeight="1">
      <c r="AX967" s="67"/>
    </row>
    <row r="968" ht="15.75" customHeight="1">
      <c r="AX968" s="67"/>
    </row>
    <row r="969" ht="15.75" customHeight="1">
      <c r="AX969" s="67"/>
    </row>
    <row r="970" ht="15.75" customHeight="1">
      <c r="AX970" s="67"/>
    </row>
    <row r="971" ht="15.75" customHeight="1">
      <c r="AX971" s="67"/>
    </row>
    <row r="972" ht="15.75" customHeight="1">
      <c r="AX972" s="67"/>
    </row>
    <row r="973" ht="15.75" customHeight="1">
      <c r="AX973" s="67"/>
    </row>
    <row r="974" ht="15.75" customHeight="1">
      <c r="AX974" s="67"/>
    </row>
    <row r="975" ht="15.75" customHeight="1">
      <c r="AX975" s="67"/>
    </row>
    <row r="976" ht="15.75" customHeight="1">
      <c r="AX976" s="67"/>
    </row>
    <row r="977" ht="15.75" customHeight="1">
      <c r="AX977" s="67"/>
    </row>
    <row r="978" ht="15.75" customHeight="1">
      <c r="AX978" s="67"/>
    </row>
    <row r="979" ht="15.75" customHeight="1">
      <c r="AX979" s="67"/>
    </row>
    <row r="980" ht="15.75" customHeight="1">
      <c r="AX980" s="67"/>
    </row>
    <row r="981" ht="15.75" customHeight="1">
      <c r="AX981" s="67"/>
    </row>
    <row r="982" ht="15.75" customHeight="1">
      <c r="AX982" s="67"/>
    </row>
    <row r="983" ht="15.75" customHeight="1">
      <c r="AX983" s="67"/>
    </row>
    <row r="984" ht="15.75" customHeight="1">
      <c r="AX984" s="67"/>
    </row>
    <row r="985" ht="15.75" customHeight="1">
      <c r="AX985" s="67"/>
    </row>
    <row r="986" ht="15.75" customHeight="1">
      <c r="AX986" s="67"/>
    </row>
    <row r="987" ht="15.75" customHeight="1">
      <c r="AX987" s="67"/>
    </row>
    <row r="988" ht="15.75" customHeight="1">
      <c r="AX988" s="67"/>
    </row>
    <row r="989" ht="15.75" customHeight="1">
      <c r="AX989" s="67"/>
    </row>
    <row r="990" ht="15.75" customHeight="1">
      <c r="AX990" s="67"/>
    </row>
    <row r="991" ht="15.75" customHeight="1">
      <c r="AX991" s="67"/>
    </row>
    <row r="992" ht="15.75" customHeight="1">
      <c r="AX992" s="67"/>
    </row>
    <row r="993" ht="15.75" customHeight="1">
      <c r="AX993" s="67"/>
    </row>
    <row r="994" ht="15.75" customHeight="1">
      <c r="AX994" s="67"/>
    </row>
    <row r="995" ht="15.75" customHeight="1">
      <c r="AX995" s="67"/>
    </row>
    <row r="996" ht="15.75" customHeight="1">
      <c r="AX996" s="67"/>
    </row>
    <row r="997" ht="15.75" customHeight="1">
      <c r="AX997" s="67"/>
    </row>
    <row r="998" ht="15.75" customHeight="1">
      <c r="AX998" s="67"/>
    </row>
    <row r="999" ht="15.75" customHeight="1">
      <c r="AX999" s="67"/>
    </row>
    <row r="1000" ht="15.75" customHeight="1">
      <c r="AX1000" s="6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86"/>
    <col customWidth="1" min="2" max="4" width="15.71"/>
    <col customWidth="1" min="5" max="5" width="9.57"/>
    <col customWidth="1" min="6" max="8" width="15.71"/>
    <col customWidth="1" min="9" max="26" width="8.0"/>
  </cols>
  <sheetData>
    <row r="1">
      <c r="A1" s="62" t="s">
        <v>50</v>
      </c>
      <c r="B1" s="63" t="s">
        <v>1062</v>
      </c>
      <c r="C1" s="63" t="s">
        <v>1063</v>
      </c>
      <c r="D1" s="63" t="s">
        <v>1056</v>
      </c>
      <c r="F1" s="63" t="s">
        <v>1064</v>
      </c>
      <c r="G1" s="63" t="s">
        <v>1065</v>
      </c>
      <c r="H1" s="63" t="s">
        <v>1056</v>
      </c>
    </row>
    <row r="2">
      <c r="A2" s="63" t="s">
        <v>659</v>
      </c>
      <c r="B2" s="63">
        <v>306.0</v>
      </c>
      <c r="C2" s="63">
        <v>56.0</v>
      </c>
      <c r="D2" s="63">
        <f t="shared" ref="D2:D256" si="1">SUM(B2-C2)</f>
        <v>250</v>
      </c>
      <c r="F2" s="63">
        <v>246.0</v>
      </c>
      <c r="G2" s="63">
        <v>6.0</v>
      </c>
      <c r="H2" s="63">
        <f t="shared" ref="H2:H256" si="2">SUM(F2-G2)</f>
        <v>240</v>
      </c>
    </row>
    <row r="3">
      <c r="A3" s="64" t="s">
        <v>534</v>
      </c>
      <c r="B3" s="63">
        <v>1392.0</v>
      </c>
      <c r="C3" s="63">
        <v>764.0</v>
      </c>
      <c r="D3" s="63">
        <f t="shared" si="1"/>
        <v>628</v>
      </c>
      <c r="F3" s="63">
        <v>431.0</v>
      </c>
      <c r="G3" s="63">
        <v>115.0</v>
      </c>
      <c r="H3" s="63">
        <f t="shared" si="2"/>
        <v>316</v>
      </c>
    </row>
    <row r="4">
      <c r="A4" s="63" t="s">
        <v>669</v>
      </c>
      <c r="B4" s="63">
        <v>1084.0</v>
      </c>
      <c r="C4" s="63">
        <v>222.0</v>
      </c>
      <c r="D4" s="63">
        <f t="shared" si="1"/>
        <v>862</v>
      </c>
      <c r="F4" s="63">
        <v>12.0</v>
      </c>
      <c r="G4" s="63">
        <v>126.0</v>
      </c>
      <c r="H4" s="63">
        <f t="shared" si="2"/>
        <v>-114</v>
      </c>
    </row>
    <row r="5">
      <c r="A5" s="66" t="s">
        <v>662</v>
      </c>
      <c r="B5" s="63">
        <v>3.0</v>
      </c>
      <c r="C5" s="63">
        <v>143.0</v>
      </c>
      <c r="D5" s="63">
        <f t="shared" si="1"/>
        <v>-140</v>
      </c>
      <c r="F5" s="63">
        <v>0.0</v>
      </c>
      <c r="G5" s="63">
        <v>320.0</v>
      </c>
      <c r="H5" s="63">
        <f t="shared" si="2"/>
        <v>-320</v>
      </c>
    </row>
    <row r="6">
      <c r="A6" s="63" t="s">
        <v>382</v>
      </c>
      <c r="B6" s="63">
        <v>0.0</v>
      </c>
      <c r="C6" s="63">
        <v>0.0</v>
      </c>
      <c r="D6" s="63">
        <f t="shared" si="1"/>
        <v>0</v>
      </c>
      <c r="F6" s="63">
        <v>0.0</v>
      </c>
      <c r="G6" s="63">
        <v>0.0</v>
      </c>
      <c r="H6" s="63">
        <f t="shared" si="2"/>
        <v>0</v>
      </c>
    </row>
    <row r="7">
      <c r="A7" s="63" t="s">
        <v>699</v>
      </c>
      <c r="B7" s="63">
        <v>62.0</v>
      </c>
      <c r="C7" s="63">
        <v>64.0</v>
      </c>
      <c r="D7" s="63">
        <f t="shared" si="1"/>
        <v>-2</v>
      </c>
      <c r="F7" s="63">
        <v>47.0</v>
      </c>
      <c r="G7" s="63">
        <v>15.0</v>
      </c>
      <c r="H7" s="63">
        <f t="shared" si="2"/>
        <v>32</v>
      </c>
    </row>
    <row r="8">
      <c r="A8" s="63" t="s">
        <v>708</v>
      </c>
      <c r="B8" s="63">
        <v>75.0</v>
      </c>
      <c r="C8" s="63">
        <v>60.0</v>
      </c>
      <c r="D8" s="63">
        <f t="shared" si="1"/>
        <v>15</v>
      </c>
      <c r="F8" s="63">
        <v>55.0</v>
      </c>
      <c r="G8" s="63">
        <v>125.0</v>
      </c>
      <c r="H8" s="63">
        <f t="shared" si="2"/>
        <v>-70</v>
      </c>
    </row>
    <row r="9">
      <c r="A9" s="63" t="s">
        <v>393</v>
      </c>
      <c r="B9" s="63">
        <v>0.0</v>
      </c>
      <c r="C9" s="63">
        <v>66.0</v>
      </c>
      <c r="D9" s="63">
        <f t="shared" si="1"/>
        <v>-66</v>
      </c>
      <c r="F9" s="63">
        <v>0.0</v>
      </c>
      <c r="G9" s="63">
        <v>0.0</v>
      </c>
      <c r="H9" s="63">
        <f t="shared" si="2"/>
        <v>0</v>
      </c>
    </row>
    <row r="10">
      <c r="A10" s="63" t="s">
        <v>820</v>
      </c>
      <c r="B10" s="63">
        <v>9.0</v>
      </c>
      <c r="C10" s="63">
        <v>8.0</v>
      </c>
      <c r="D10" s="63">
        <f t="shared" si="1"/>
        <v>1</v>
      </c>
      <c r="F10" s="63">
        <v>0.0</v>
      </c>
      <c r="G10" s="63">
        <v>6.0</v>
      </c>
      <c r="H10" s="63">
        <f t="shared" si="2"/>
        <v>-6</v>
      </c>
    </row>
    <row r="11">
      <c r="A11" s="63" t="s">
        <v>1017</v>
      </c>
      <c r="B11" s="63">
        <v>0.0</v>
      </c>
      <c r="C11" s="63">
        <v>2.0</v>
      </c>
      <c r="D11" s="63">
        <f t="shared" si="1"/>
        <v>-2</v>
      </c>
      <c r="F11" s="63">
        <v>0.0</v>
      </c>
      <c r="G11" s="63">
        <v>0.0</v>
      </c>
      <c r="H11" s="63">
        <f t="shared" si="2"/>
        <v>0</v>
      </c>
    </row>
    <row r="12">
      <c r="A12" s="63" t="s">
        <v>944</v>
      </c>
      <c r="B12" s="63">
        <v>67.0</v>
      </c>
      <c r="C12" s="63">
        <v>4.0</v>
      </c>
      <c r="D12" s="63">
        <f t="shared" si="1"/>
        <v>63</v>
      </c>
      <c r="F12" s="63">
        <v>60.0</v>
      </c>
      <c r="G12" s="63">
        <v>0.0</v>
      </c>
      <c r="H12" s="63">
        <f t="shared" si="2"/>
        <v>60</v>
      </c>
    </row>
    <row r="13">
      <c r="A13" s="63" t="s">
        <v>364</v>
      </c>
      <c r="B13" s="63">
        <v>120.0</v>
      </c>
      <c r="C13" s="63">
        <v>470.0</v>
      </c>
      <c r="D13" s="63">
        <f t="shared" si="1"/>
        <v>-350</v>
      </c>
      <c r="F13" s="63">
        <v>6.0</v>
      </c>
      <c r="G13" s="63">
        <v>216.0</v>
      </c>
      <c r="H13" s="63">
        <f t="shared" si="2"/>
        <v>-210</v>
      </c>
    </row>
    <row r="14">
      <c r="A14" s="63" t="s">
        <v>367</v>
      </c>
      <c r="B14" s="63">
        <v>0.0</v>
      </c>
      <c r="C14" s="63">
        <v>91.0</v>
      </c>
      <c r="D14" s="63">
        <f t="shared" si="1"/>
        <v>-91</v>
      </c>
      <c r="F14" s="63">
        <v>0.0</v>
      </c>
      <c r="G14" s="63">
        <v>103.0</v>
      </c>
      <c r="H14" s="63">
        <f t="shared" si="2"/>
        <v>-103</v>
      </c>
    </row>
    <row r="15">
      <c r="A15" s="63" t="s">
        <v>401</v>
      </c>
      <c r="B15" s="63">
        <v>0.0</v>
      </c>
      <c r="C15" s="63">
        <v>246.0</v>
      </c>
      <c r="D15" s="63">
        <f t="shared" si="1"/>
        <v>-246</v>
      </c>
      <c r="F15" s="63">
        <v>0.0</v>
      </c>
      <c r="G15" s="63">
        <v>0.0</v>
      </c>
      <c r="H15" s="63">
        <f t="shared" si="2"/>
        <v>0</v>
      </c>
    </row>
    <row r="16">
      <c r="A16" s="63" t="s">
        <v>644</v>
      </c>
      <c r="B16" s="63">
        <v>0.0</v>
      </c>
      <c r="C16" s="63">
        <v>0.0</v>
      </c>
      <c r="D16" s="63">
        <f t="shared" si="1"/>
        <v>0</v>
      </c>
      <c r="F16" s="63">
        <v>0.0</v>
      </c>
      <c r="G16" s="63">
        <v>8.0</v>
      </c>
      <c r="H16" s="63">
        <f t="shared" si="2"/>
        <v>-8</v>
      </c>
    </row>
    <row r="17">
      <c r="A17" s="63" t="s">
        <v>623</v>
      </c>
      <c r="B17" s="63">
        <v>0.0</v>
      </c>
      <c r="C17" s="63">
        <v>0.0</v>
      </c>
      <c r="D17" s="63">
        <f t="shared" si="1"/>
        <v>0</v>
      </c>
      <c r="F17" s="63">
        <v>0.0</v>
      </c>
      <c r="G17" s="63">
        <v>0.0</v>
      </c>
      <c r="H17" s="63">
        <f t="shared" si="2"/>
        <v>0</v>
      </c>
    </row>
    <row r="18">
      <c r="A18" s="63" t="s">
        <v>338</v>
      </c>
      <c r="B18" s="63">
        <v>0.0</v>
      </c>
      <c r="C18" s="63">
        <v>12.0</v>
      </c>
      <c r="D18" s="63">
        <f t="shared" si="1"/>
        <v>-12</v>
      </c>
      <c r="F18" s="63">
        <v>0.0</v>
      </c>
      <c r="G18" s="63">
        <v>0.0</v>
      </c>
      <c r="H18" s="63">
        <f t="shared" si="2"/>
        <v>0</v>
      </c>
    </row>
    <row r="19">
      <c r="A19" s="63" t="s">
        <v>875</v>
      </c>
      <c r="B19" s="63">
        <v>0.0</v>
      </c>
      <c r="C19" s="63">
        <v>0.0</v>
      </c>
      <c r="D19" s="63">
        <f t="shared" si="1"/>
        <v>0</v>
      </c>
      <c r="F19" s="63">
        <v>82.0</v>
      </c>
      <c r="G19" s="63">
        <v>0.0</v>
      </c>
      <c r="H19" s="63">
        <f t="shared" si="2"/>
        <v>82</v>
      </c>
    </row>
    <row r="20">
      <c r="A20" s="63" t="s">
        <v>397</v>
      </c>
      <c r="B20" s="63">
        <v>3.0</v>
      </c>
      <c r="C20" s="63">
        <v>26.0</v>
      </c>
      <c r="D20" s="63">
        <f t="shared" si="1"/>
        <v>-23</v>
      </c>
      <c r="F20" s="63">
        <v>0.0</v>
      </c>
      <c r="G20" s="63">
        <v>64.0</v>
      </c>
      <c r="H20" s="63">
        <f t="shared" si="2"/>
        <v>-64</v>
      </c>
    </row>
    <row r="21" ht="15.75" customHeight="1">
      <c r="A21" s="63" t="s">
        <v>1046</v>
      </c>
      <c r="B21" s="63">
        <v>0.0</v>
      </c>
      <c r="C21" s="63">
        <v>58.0</v>
      </c>
      <c r="D21" s="63">
        <f t="shared" si="1"/>
        <v>-58</v>
      </c>
      <c r="F21" s="63">
        <v>0.0</v>
      </c>
      <c r="G21" s="63">
        <v>27.0</v>
      </c>
      <c r="H21" s="63">
        <f t="shared" si="2"/>
        <v>-27</v>
      </c>
    </row>
    <row r="22" ht="15.75" customHeight="1">
      <c r="A22" s="63" t="s">
        <v>995</v>
      </c>
      <c r="B22" s="63">
        <v>0.0</v>
      </c>
      <c r="C22" s="63">
        <v>0.0</v>
      </c>
      <c r="D22" s="63">
        <f t="shared" si="1"/>
        <v>0</v>
      </c>
      <c r="F22" s="63">
        <v>0.0</v>
      </c>
      <c r="G22" s="63">
        <v>0.0</v>
      </c>
      <c r="H22" s="63">
        <f t="shared" si="2"/>
        <v>0</v>
      </c>
    </row>
    <row r="23" ht="15.75" customHeight="1">
      <c r="A23" s="63" t="s">
        <v>733</v>
      </c>
      <c r="B23" s="63">
        <v>158.0</v>
      </c>
      <c r="C23" s="63">
        <v>31.0</v>
      </c>
      <c r="D23" s="63">
        <f t="shared" si="1"/>
        <v>127</v>
      </c>
      <c r="F23" s="63">
        <v>59.0</v>
      </c>
      <c r="G23" s="63">
        <v>105.0</v>
      </c>
      <c r="H23" s="63">
        <f t="shared" si="2"/>
        <v>-46</v>
      </c>
    </row>
    <row r="24" ht="15.75" customHeight="1">
      <c r="A24" s="63" t="s">
        <v>269</v>
      </c>
      <c r="B24" s="63">
        <v>0.0</v>
      </c>
      <c r="C24" s="63">
        <v>0.0</v>
      </c>
      <c r="D24" s="63">
        <f t="shared" si="1"/>
        <v>0</v>
      </c>
      <c r="F24" s="63">
        <v>0.0</v>
      </c>
      <c r="G24" s="63">
        <v>0.0</v>
      </c>
      <c r="H24" s="63">
        <f t="shared" si="2"/>
        <v>0</v>
      </c>
    </row>
    <row r="25" ht="15.75" customHeight="1">
      <c r="A25" s="63" t="s">
        <v>705</v>
      </c>
      <c r="B25" s="63">
        <v>0.0</v>
      </c>
      <c r="C25" s="63">
        <v>54.0</v>
      </c>
      <c r="D25" s="63">
        <f t="shared" si="1"/>
        <v>-54</v>
      </c>
      <c r="F25" s="63">
        <v>0.0</v>
      </c>
      <c r="G25" s="63">
        <v>56.0</v>
      </c>
      <c r="H25" s="63">
        <f t="shared" si="2"/>
        <v>-56</v>
      </c>
    </row>
    <row r="26" ht="15.75" customHeight="1">
      <c r="A26" s="63" t="s">
        <v>632</v>
      </c>
      <c r="B26" s="63">
        <v>0.0</v>
      </c>
      <c r="C26" s="63">
        <v>0.0</v>
      </c>
      <c r="D26" s="63">
        <f t="shared" si="1"/>
        <v>0</v>
      </c>
      <c r="F26" s="63">
        <v>0.0</v>
      </c>
      <c r="G26" s="63">
        <v>0.0</v>
      </c>
      <c r="H26" s="63">
        <f t="shared" si="2"/>
        <v>0</v>
      </c>
    </row>
    <row r="27" ht="15.75" customHeight="1">
      <c r="A27" s="63" t="s">
        <v>1040</v>
      </c>
      <c r="B27" s="63">
        <v>4.0</v>
      </c>
      <c r="C27" s="63">
        <v>1.0</v>
      </c>
      <c r="D27" s="63">
        <f t="shared" si="1"/>
        <v>3</v>
      </c>
      <c r="F27" s="63">
        <v>0.0</v>
      </c>
      <c r="G27" s="63">
        <v>0.0</v>
      </c>
      <c r="H27" s="63">
        <f t="shared" si="2"/>
        <v>0</v>
      </c>
    </row>
    <row r="28" ht="15.75" customHeight="1">
      <c r="A28" s="63" t="s">
        <v>304</v>
      </c>
      <c r="B28" s="63">
        <v>2.0</v>
      </c>
      <c r="C28" s="63">
        <v>27.0</v>
      </c>
      <c r="D28" s="63">
        <f t="shared" si="1"/>
        <v>-25</v>
      </c>
      <c r="F28" s="63">
        <v>0.0</v>
      </c>
      <c r="G28" s="63">
        <v>71.0</v>
      </c>
      <c r="H28" s="63">
        <f t="shared" si="2"/>
        <v>-71</v>
      </c>
    </row>
    <row r="29" ht="15.75" customHeight="1">
      <c r="A29" s="63" t="s">
        <v>488</v>
      </c>
      <c r="B29" s="63">
        <v>0.0</v>
      </c>
      <c r="C29" s="63">
        <v>5.0</v>
      </c>
      <c r="D29" s="63">
        <f t="shared" si="1"/>
        <v>-5</v>
      </c>
      <c r="F29" s="63">
        <v>0.0</v>
      </c>
      <c r="G29" s="63">
        <v>0.0</v>
      </c>
      <c r="H29" s="63">
        <f t="shared" si="2"/>
        <v>0</v>
      </c>
    </row>
    <row r="30" ht="15.75" customHeight="1">
      <c r="A30" s="63" t="s">
        <v>681</v>
      </c>
      <c r="B30" s="63">
        <v>109.0</v>
      </c>
      <c r="C30" s="63">
        <v>9.0</v>
      </c>
      <c r="D30" s="63">
        <f t="shared" si="1"/>
        <v>100</v>
      </c>
      <c r="F30" s="63">
        <v>211.0</v>
      </c>
      <c r="G30" s="63">
        <v>1.0</v>
      </c>
      <c r="H30" s="63">
        <f t="shared" si="2"/>
        <v>210</v>
      </c>
    </row>
    <row r="31" ht="15.75" customHeight="1">
      <c r="A31" s="63" t="s">
        <v>293</v>
      </c>
      <c r="B31" s="63">
        <v>29.0</v>
      </c>
      <c r="C31" s="63">
        <v>2.0</v>
      </c>
      <c r="D31" s="63">
        <f t="shared" si="1"/>
        <v>27</v>
      </c>
      <c r="F31" s="63">
        <v>3.0</v>
      </c>
      <c r="G31" s="63">
        <v>50.0</v>
      </c>
      <c r="H31" s="63">
        <f t="shared" si="2"/>
        <v>-47</v>
      </c>
    </row>
    <row r="32" ht="15.75" customHeight="1">
      <c r="A32" s="63" t="s">
        <v>386</v>
      </c>
      <c r="B32" s="63">
        <v>0.0</v>
      </c>
      <c r="C32" s="63">
        <v>172.0</v>
      </c>
      <c r="D32" s="63">
        <f t="shared" si="1"/>
        <v>-172</v>
      </c>
      <c r="F32" s="63">
        <v>0.0</v>
      </c>
      <c r="G32" s="63">
        <v>0.0</v>
      </c>
      <c r="H32" s="63">
        <f t="shared" si="2"/>
        <v>0</v>
      </c>
    </row>
    <row r="33" ht="15.75" customHeight="1">
      <c r="A33" s="63" t="s">
        <v>866</v>
      </c>
      <c r="B33" s="63">
        <v>146.0</v>
      </c>
      <c r="C33" s="63">
        <v>9.0</v>
      </c>
      <c r="D33" s="63">
        <f t="shared" si="1"/>
        <v>137</v>
      </c>
      <c r="F33" s="63">
        <v>90.0</v>
      </c>
      <c r="G33" s="63">
        <v>0.0</v>
      </c>
      <c r="H33" s="63">
        <f t="shared" si="2"/>
        <v>90</v>
      </c>
    </row>
    <row r="34" ht="15.75" customHeight="1">
      <c r="A34" s="63" t="s">
        <v>404</v>
      </c>
      <c r="B34" s="63">
        <v>0.0</v>
      </c>
      <c r="C34" s="63">
        <v>55.0</v>
      </c>
      <c r="D34" s="63">
        <f t="shared" si="1"/>
        <v>-55</v>
      </c>
      <c r="F34" s="63">
        <v>0.0</v>
      </c>
      <c r="G34" s="63">
        <v>0.0</v>
      </c>
      <c r="H34" s="63">
        <f t="shared" si="2"/>
        <v>0</v>
      </c>
    </row>
    <row r="35" ht="15.75" customHeight="1">
      <c r="A35" s="63" t="s">
        <v>1006</v>
      </c>
      <c r="B35" s="63">
        <v>15.0</v>
      </c>
      <c r="C35" s="63">
        <v>46.0</v>
      </c>
      <c r="D35" s="63">
        <f t="shared" si="1"/>
        <v>-31</v>
      </c>
      <c r="F35" s="63">
        <v>0.0</v>
      </c>
      <c r="G35" s="63">
        <v>2.0</v>
      </c>
      <c r="H35" s="63">
        <f t="shared" si="2"/>
        <v>-2</v>
      </c>
    </row>
    <row r="36" ht="15.75" customHeight="1">
      <c r="A36" s="63" t="s">
        <v>641</v>
      </c>
      <c r="B36" s="63">
        <v>14.0</v>
      </c>
      <c r="C36" s="63">
        <v>0.0</v>
      </c>
      <c r="D36" s="63">
        <f t="shared" si="1"/>
        <v>14</v>
      </c>
      <c r="F36" s="63">
        <v>0.0</v>
      </c>
      <c r="G36" s="63">
        <v>0.0</v>
      </c>
      <c r="H36" s="63">
        <f t="shared" si="2"/>
        <v>0</v>
      </c>
    </row>
    <row r="37" ht="15.75" customHeight="1">
      <c r="A37" s="63" t="s">
        <v>491</v>
      </c>
      <c r="B37" s="63">
        <v>10.0</v>
      </c>
      <c r="C37" s="63">
        <v>0.0</v>
      </c>
      <c r="D37" s="63">
        <f t="shared" si="1"/>
        <v>10</v>
      </c>
      <c r="F37" s="63">
        <v>0.0</v>
      </c>
      <c r="G37" s="63">
        <v>0.0</v>
      </c>
      <c r="H37" s="63">
        <f t="shared" si="2"/>
        <v>0</v>
      </c>
    </row>
    <row r="38" ht="15.75" customHeight="1">
      <c r="A38" s="63" t="s">
        <v>589</v>
      </c>
      <c r="B38" s="63">
        <v>0.0</v>
      </c>
      <c r="C38" s="63">
        <v>17.0</v>
      </c>
      <c r="D38" s="63">
        <f t="shared" si="1"/>
        <v>-17</v>
      </c>
      <c r="F38" s="63">
        <v>0.0</v>
      </c>
      <c r="G38" s="63">
        <v>0.0</v>
      </c>
      <c r="H38" s="63">
        <f t="shared" si="2"/>
        <v>0</v>
      </c>
    </row>
    <row r="39" ht="15.75" customHeight="1">
      <c r="A39" s="63" t="s">
        <v>610</v>
      </c>
      <c r="B39" s="63">
        <v>3.0</v>
      </c>
      <c r="C39" s="63">
        <v>0.0</v>
      </c>
      <c r="D39" s="63">
        <f t="shared" si="1"/>
        <v>3</v>
      </c>
      <c r="F39" s="63">
        <v>0.0</v>
      </c>
      <c r="G39" s="63">
        <v>0.0</v>
      </c>
      <c r="H39" s="63">
        <f t="shared" si="2"/>
        <v>0</v>
      </c>
    </row>
    <row r="40" ht="15.75" customHeight="1">
      <c r="A40" s="63" t="s">
        <v>956</v>
      </c>
      <c r="B40" s="63">
        <v>40.0</v>
      </c>
      <c r="C40" s="63">
        <v>7.0</v>
      </c>
      <c r="D40" s="63">
        <f t="shared" si="1"/>
        <v>33</v>
      </c>
      <c r="F40" s="63">
        <v>23.0</v>
      </c>
      <c r="G40" s="63">
        <v>0.0</v>
      </c>
      <c r="H40" s="63">
        <f t="shared" si="2"/>
        <v>23</v>
      </c>
    </row>
    <row r="41" ht="15.75" customHeight="1">
      <c r="A41" s="63" t="s">
        <v>433</v>
      </c>
      <c r="B41" s="63">
        <v>10.0</v>
      </c>
      <c r="C41" s="63">
        <v>0.0</v>
      </c>
      <c r="D41" s="63">
        <f t="shared" si="1"/>
        <v>10</v>
      </c>
      <c r="F41" s="63">
        <v>0.0</v>
      </c>
      <c r="G41" s="63">
        <v>0.0</v>
      </c>
      <c r="H41" s="63">
        <f t="shared" si="2"/>
        <v>0</v>
      </c>
    </row>
    <row r="42" ht="15.75" customHeight="1">
      <c r="A42" s="63" t="s">
        <v>647</v>
      </c>
      <c r="B42" s="63">
        <v>227.0</v>
      </c>
      <c r="C42" s="63">
        <v>0.0</v>
      </c>
      <c r="D42" s="63">
        <f t="shared" si="1"/>
        <v>227</v>
      </c>
      <c r="F42" s="63">
        <v>0.0</v>
      </c>
      <c r="G42" s="63">
        <v>0.0</v>
      </c>
      <c r="H42" s="63">
        <f t="shared" si="2"/>
        <v>0</v>
      </c>
    </row>
    <row r="43" ht="15.75" customHeight="1">
      <c r="A43" s="63" t="s">
        <v>408</v>
      </c>
      <c r="B43" s="63">
        <v>0.0</v>
      </c>
      <c r="C43" s="63">
        <v>2.0</v>
      </c>
      <c r="D43" s="63">
        <f t="shared" si="1"/>
        <v>-2</v>
      </c>
      <c r="F43" s="63">
        <v>0.0</v>
      </c>
      <c r="G43" s="63">
        <v>0.0</v>
      </c>
      <c r="H43" s="63">
        <f t="shared" si="2"/>
        <v>0</v>
      </c>
    </row>
    <row r="44" ht="15.75" customHeight="1">
      <c r="A44" s="63" t="s">
        <v>484</v>
      </c>
      <c r="B44" s="63">
        <v>0.0</v>
      </c>
      <c r="C44" s="63">
        <v>8.0</v>
      </c>
      <c r="D44" s="63">
        <f t="shared" si="1"/>
        <v>-8</v>
      </c>
      <c r="F44" s="63">
        <v>0.0</v>
      </c>
      <c r="G44" s="63">
        <v>3.0</v>
      </c>
      <c r="H44" s="63">
        <f t="shared" si="2"/>
        <v>-3</v>
      </c>
    </row>
    <row r="45" ht="15.75" customHeight="1">
      <c r="A45" s="63" t="s">
        <v>754</v>
      </c>
      <c r="B45" s="63">
        <v>29.0</v>
      </c>
      <c r="C45" s="63">
        <v>2.0</v>
      </c>
      <c r="D45" s="63">
        <f t="shared" si="1"/>
        <v>27</v>
      </c>
      <c r="F45" s="63">
        <v>0.0</v>
      </c>
      <c r="G45" s="63">
        <v>0.0</v>
      </c>
      <c r="H45" s="63">
        <f t="shared" si="2"/>
        <v>0</v>
      </c>
    </row>
    <row r="46" ht="15.75" customHeight="1">
      <c r="A46" s="63" t="s">
        <v>553</v>
      </c>
      <c r="B46" s="63">
        <v>123.0</v>
      </c>
      <c r="C46" s="63">
        <v>0.0</v>
      </c>
      <c r="D46" s="63">
        <f t="shared" si="1"/>
        <v>123</v>
      </c>
      <c r="F46" s="63">
        <v>0.0</v>
      </c>
      <c r="G46" s="63">
        <v>0.0</v>
      </c>
      <c r="H46" s="63">
        <f t="shared" si="2"/>
        <v>0</v>
      </c>
    </row>
    <row r="47" ht="15.75" customHeight="1">
      <c r="A47" s="63" t="s">
        <v>973</v>
      </c>
      <c r="B47" s="63">
        <v>2.0</v>
      </c>
      <c r="C47" s="63">
        <v>8.0</v>
      </c>
      <c r="D47" s="63">
        <f t="shared" si="1"/>
        <v>-6</v>
      </c>
      <c r="F47" s="63">
        <v>0.0</v>
      </c>
      <c r="G47" s="63">
        <v>7.0</v>
      </c>
      <c r="H47" s="63">
        <f t="shared" si="2"/>
        <v>-7</v>
      </c>
    </row>
    <row r="48" ht="15.75" customHeight="1">
      <c r="A48" s="63" t="s">
        <v>999</v>
      </c>
      <c r="B48" s="63">
        <v>0.0</v>
      </c>
      <c r="C48" s="63">
        <v>2.0</v>
      </c>
      <c r="D48" s="63">
        <f t="shared" si="1"/>
        <v>-2</v>
      </c>
      <c r="F48" s="63">
        <v>0.0</v>
      </c>
      <c r="G48" s="63">
        <v>0.0</v>
      </c>
      <c r="H48" s="63">
        <f t="shared" si="2"/>
        <v>0</v>
      </c>
    </row>
    <row r="49" ht="15.75" customHeight="1">
      <c r="A49" s="63" t="s">
        <v>245</v>
      </c>
      <c r="B49" s="63">
        <v>0.0</v>
      </c>
      <c r="C49" s="63">
        <v>0.0</v>
      </c>
      <c r="D49" s="63">
        <f t="shared" si="1"/>
        <v>0</v>
      </c>
      <c r="F49" s="63">
        <v>5.0</v>
      </c>
      <c r="G49" s="63">
        <v>0.0</v>
      </c>
      <c r="H49" s="63">
        <f t="shared" si="2"/>
        <v>5</v>
      </c>
    </row>
    <row r="50" ht="15.75" customHeight="1">
      <c r="A50" s="63" t="s">
        <v>467</v>
      </c>
      <c r="B50" s="63">
        <v>79.0</v>
      </c>
      <c r="C50" s="63">
        <v>0.0</v>
      </c>
      <c r="D50" s="63">
        <f t="shared" si="1"/>
        <v>79</v>
      </c>
      <c r="F50" s="63">
        <v>0.0</v>
      </c>
      <c r="G50" s="63">
        <v>0.0</v>
      </c>
      <c r="H50" s="63">
        <f t="shared" si="2"/>
        <v>0</v>
      </c>
    </row>
    <row r="51" ht="15.75" customHeight="1">
      <c r="A51" s="63" t="s">
        <v>522</v>
      </c>
      <c r="B51" s="63">
        <v>15.0</v>
      </c>
      <c r="C51" s="63">
        <v>0.0</v>
      </c>
      <c r="D51" s="63">
        <f t="shared" si="1"/>
        <v>15</v>
      </c>
      <c r="F51" s="63">
        <v>0.0</v>
      </c>
      <c r="G51" s="63">
        <v>0.0</v>
      </c>
      <c r="H51" s="63">
        <f t="shared" si="2"/>
        <v>0</v>
      </c>
    </row>
    <row r="52" ht="15.75" customHeight="1">
      <c r="A52" s="63" t="s">
        <v>439</v>
      </c>
      <c r="B52" s="63">
        <v>2.0</v>
      </c>
      <c r="C52" s="63">
        <v>0.0</v>
      </c>
      <c r="D52" s="63">
        <f t="shared" si="1"/>
        <v>2</v>
      </c>
      <c r="F52" s="63">
        <v>0.0</v>
      </c>
      <c r="G52" s="63">
        <v>0.0</v>
      </c>
      <c r="H52" s="63">
        <f t="shared" si="2"/>
        <v>0</v>
      </c>
    </row>
    <row r="53" ht="15.75" customHeight="1">
      <c r="A53" s="63" t="s">
        <v>419</v>
      </c>
      <c r="B53" s="63">
        <v>5.0</v>
      </c>
      <c r="C53" s="63">
        <v>0.0</v>
      </c>
      <c r="D53" s="63">
        <f t="shared" si="1"/>
        <v>5</v>
      </c>
      <c r="F53" s="63">
        <v>0.0</v>
      </c>
      <c r="G53" s="63">
        <v>0.0</v>
      </c>
      <c r="H53" s="63">
        <f t="shared" si="2"/>
        <v>0</v>
      </c>
    </row>
    <row r="54" ht="15.75" customHeight="1">
      <c r="A54" s="63" t="s">
        <v>458</v>
      </c>
      <c r="B54" s="63">
        <v>0.0</v>
      </c>
      <c r="C54" s="63">
        <v>0.0</v>
      </c>
      <c r="D54" s="63">
        <f t="shared" si="1"/>
        <v>0</v>
      </c>
      <c r="F54" s="63">
        <v>0.0</v>
      </c>
      <c r="G54" s="63">
        <v>0.0</v>
      </c>
      <c r="H54" s="63">
        <f t="shared" si="2"/>
        <v>0</v>
      </c>
    </row>
    <row r="55" ht="15.75" customHeight="1">
      <c r="A55" s="63" t="s">
        <v>370</v>
      </c>
      <c r="B55" s="63">
        <v>0.0</v>
      </c>
      <c r="C55" s="63">
        <v>36.0</v>
      </c>
      <c r="D55" s="63">
        <f t="shared" si="1"/>
        <v>-36</v>
      </c>
      <c r="F55" s="63">
        <v>0.0</v>
      </c>
      <c r="G55" s="63">
        <v>81.0</v>
      </c>
      <c r="H55" s="63">
        <f t="shared" si="2"/>
        <v>-81</v>
      </c>
    </row>
    <row r="56" ht="15.75" customHeight="1">
      <c r="A56" s="63" t="s">
        <v>452</v>
      </c>
      <c r="B56" s="63">
        <v>12.0</v>
      </c>
      <c r="C56" s="63">
        <v>0.0</v>
      </c>
      <c r="D56" s="63">
        <f t="shared" si="1"/>
        <v>12</v>
      </c>
      <c r="F56" s="63">
        <v>0.0</v>
      </c>
      <c r="G56" s="63">
        <v>0.0</v>
      </c>
      <c r="H56" s="63">
        <f t="shared" si="2"/>
        <v>0</v>
      </c>
    </row>
    <row r="57" ht="15.75" customHeight="1">
      <c r="A57" s="63" t="s">
        <v>412</v>
      </c>
      <c r="B57" s="63">
        <v>0.0</v>
      </c>
      <c r="C57" s="63">
        <v>24.0</v>
      </c>
      <c r="D57" s="63">
        <f t="shared" si="1"/>
        <v>-24</v>
      </c>
      <c r="F57" s="63">
        <v>0.0</v>
      </c>
      <c r="G57" s="63">
        <v>0.0</v>
      </c>
      <c r="H57" s="63">
        <f t="shared" si="2"/>
        <v>0</v>
      </c>
    </row>
    <row r="58" ht="15.75" customHeight="1">
      <c r="A58" s="63" t="s">
        <v>537</v>
      </c>
      <c r="B58" s="63">
        <v>3.0</v>
      </c>
      <c r="C58" s="63">
        <v>18.0</v>
      </c>
      <c r="D58" s="63">
        <f t="shared" si="1"/>
        <v>-15</v>
      </c>
      <c r="F58" s="63">
        <v>21.0</v>
      </c>
      <c r="G58" s="63">
        <v>21.0</v>
      </c>
      <c r="H58" s="63">
        <f t="shared" si="2"/>
        <v>0</v>
      </c>
    </row>
    <row r="59" ht="15.75" customHeight="1">
      <c r="A59" s="63" t="s">
        <v>374</v>
      </c>
      <c r="B59" s="63">
        <v>8.0</v>
      </c>
      <c r="C59" s="63">
        <v>8.0</v>
      </c>
      <c r="D59" s="63">
        <f t="shared" si="1"/>
        <v>0</v>
      </c>
      <c r="F59" s="63">
        <v>0.0</v>
      </c>
      <c r="G59" s="63">
        <v>0.0</v>
      </c>
      <c r="H59" s="63">
        <f t="shared" si="2"/>
        <v>0</v>
      </c>
    </row>
    <row r="60" ht="15.75" customHeight="1">
      <c r="A60" s="63" t="s">
        <v>562</v>
      </c>
      <c r="B60" s="63">
        <v>0.0</v>
      </c>
      <c r="C60" s="63">
        <v>0.0</v>
      </c>
      <c r="D60" s="63">
        <f t="shared" si="1"/>
        <v>0</v>
      </c>
      <c r="F60" s="63">
        <v>0.0</v>
      </c>
      <c r="G60" s="63">
        <v>0.0</v>
      </c>
      <c r="H60" s="63">
        <f t="shared" si="2"/>
        <v>0</v>
      </c>
    </row>
    <row r="61" ht="15.75" customHeight="1">
      <c r="A61" s="63" t="s">
        <v>476</v>
      </c>
      <c r="B61" s="63">
        <v>0.0</v>
      </c>
      <c r="C61" s="63">
        <v>5.0</v>
      </c>
      <c r="D61" s="63">
        <f t="shared" si="1"/>
        <v>-5</v>
      </c>
      <c r="F61" s="63">
        <v>0.0</v>
      </c>
      <c r="G61" s="63">
        <v>0.0</v>
      </c>
      <c r="H61" s="63">
        <f t="shared" si="2"/>
        <v>0</v>
      </c>
    </row>
    <row r="62" ht="15.75" customHeight="1">
      <c r="A62" s="63" t="s">
        <v>311</v>
      </c>
      <c r="B62" s="63">
        <v>0.0</v>
      </c>
      <c r="C62" s="63">
        <v>0.0</v>
      </c>
      <c r="D62" s="63">
        <f t="shared" si="1"/>
        <v>0</v>
      </c>
      <c r="F62" s="63">
        <v>0.0</v>
      </c>
      <c r="G62" s="63">
        <v>0.0</v>
      </c>
      <c r="H62" s="63">
        <f t="shared" si="2"/>
        <v>0</v>
      </c>
    </row>
    <row r="63" ht="15.75" customHeight="1">
      <c r="A63" s="63" t="s">
        <v>348</v>
      </c>
      <c r="B63" s="63">
        <v>0.0</v>
      </c>
      <c r="C63" s="63">
        <v>0.0</v>
      </c>
      <c r="D63" s="63">
        <f t="shared" si="1"/>
        <v>0</v>
      </c>
      <c r="F63" s="63">
        <v>0.0</v>
      </c>
      <c r="G63" s="63">
        <v>0.0</v>
      </c>
      <c r="H63" s="63">
        <f t="shared" si="2"/>
        <v>0</v>
      </c>
    </row>
    <row r="64" ht="15.75" customHeight="1">
      <c r="A64" s="63" t="s">
        <v>992</v>
      </c>
      <c r="B64" s="63">
        <v>0.0</v>
      </c>
      <c r="C64" s="63">
        <v>1.0</v>
      </c>
      <c r="D64" s="63">
        <f t="shared" si="1"/>
        <v>-1</v>
      </c>
      <c r="F64" s="63">
        <v>0.0</v>
      </c>
      <c r="G64" s="63">
        <v>0.0</v>
      </c>
      <c r="H64" s="63">
        <f t="shared" si="2"/>
        <v>0</v>
      </c>
    </row>
    <row r="65" ht="15.75" customHeight="1">
      <c r="A65" s="63" t="s">
        <v>273</v>
      </c>
      <c r="B65" s="63">
        <v>205.0</v>
      </c>
      <c r="C65" s="63">
        <v>2.0</v>
      </c>
      <c r="D65" s="63">
        <f t="shared" si="1"/>
        <v>203</v>
      </c>
      <c r="F65" s="63">
        <v>0.0</v>
      </c>
      <c r="G65" s="63">
        <v>0.0</v>
      </c>
      <c r="H65" s="63">
        <f t="shared" si="2"/>
        <v>0</v>
      </c>
    </row>
    <row r="66" ht="15.75" customHeight="1">
      <c r="A66" s="63" t="s">
        <v>423</v>
      </c>
      <c r="B66" s="63">
        <v>90.0</v>
      </c>
      <c r="C66" s="63">
        <v>78.0</v>
      </c>
      <c r="D66" s="63">
        <f t="shared" si="1"/>
        <v>12</v>
      </c>
      <c r="F66" s="63">
        <v>62.0</v>
      </c>
      <c r="G66" s="63">
        <v>20.0</v>
      </c>
      <c r="H66" s="63">
        <f t="shared" si="2"/>
        <v>42</v>
      </c>
    </row>
    <row r="67" ht="15.75" customHeight="1">
      <c r="A67" s="63" t="s">
        <v>977</v>
      </c>
      <c r="B67" s="63">
        <v>0.0</v>
      </c>
      <c r="C67" s="63">
        <v>2.0</v>
      </c>
      <c r="D67" s="63">
        <f t="shared" si="1"/>
        <v>-2</v>
      </c>
      <c r="F67" s="63">
        <v>0.0</v>
      </c>
      <c r="G67" s="63">
        <v>0.0</v>
      </c>
      <c r="H67" s="63">
        <f t="shared" si="2"/>
        <v>0</v>
      </c>
    </row>
    <row r="68" ht="15.75" customHeight="1">
      <c r="A68" s="63" t="s">
        <v>1013</v>
      </c>
      <c r="B68" s="63">
        <v>0.0</v>
      </c>
      <c r="C68" s="63">
        <v>0.0</v>
      </c>
      <c r="D68" s="63">
        <f t="shared" si="1"/>
        <v>0</v>
      </c>
      <c r="F68" s="63">
        <v>0.0</v>
      </c>
      <c r="G68" s="63">
        <v>0.0</v>
      </c>
      <c r="H68" s="63">
        <f t="shared" si="2"/>
        <v>0</v>
      </c>
    </row>
    <row r="69" ht="15.75" customHeight="1">
      <c r="A69" s="63" t="s">
        <v>1021</v>
      </c>
      <c r="B69" s="63">
        <v>0.0</v>
      </c>
      <c r="C69" s="63">
        <v>0.0</v>
      </c>
      <c r="D69" s="63">
        <f t="shared" si="1"/>
        <v>0</v>
      </c>
      <c r="F69" s="63">
        <v>0.0</v>
      </c>
      <c r="G69" s="63">
        <v>0.0</v>
      </c>
      <c r="H69" s="63">
        <f t="shared" si="2"/>
        <v>0</v>
      </c>
    </row>
    <row r="70" ht="15.75" customHeight="1">
      <c r="A70" s="63" t="s">
        <v>984</v>
      </c>
      <c r="B70" s="63">
        <v>0.0</v>
      </c>
      <c r="C70" s="63">
        <v>0.0</v>
      </c>
      <c r="D70" s="63">
        <f t="shared" si="1"/>
        <v>0</v>
      </c>
      <c r="F70" s="63">
        <v>0.0</v>
      </c>
      <c r="G70" s="63">
        <v>0.0</v>
      </c>
      <c r="H70" s="63">
        <f t="shared" si="2"/>
        <v>0</v>
      </c>
    </row>
    <row r="71" ht="15.75" customHeight="1">
      <c r="A71" s="63" t="s">
        <v>503</v>
      </c>
      <c r="B71" s="63">
        <v>10.0</v>
      </c>
      <c r="C71" s="63">
        <v>10.0</v>
      </c>
      <c r="D71" s="63">
        <f t="shared" si="1"/>
        <v>0</v>
      </c>
      <c r="F71" s="63">
        <v>7.0</v>
      </c>
      <c r="G71" s="63">
        <v>0.0</v>
      </c>
      <c r="H71" s="63">
        <f t="shared" si="2"/>
        <v>7</v>
      </c>
    </row>
    <row r="72" ht="15.75" customHeight="1">
      <c r="A72" s="63" t="s">
        <v>442</v>
      </c>
      <c r="B72" s="63">
        <v>0.0</v>
      </c>
      <c r="C72" s="63">
        <v>0.0</v>
      </c>
      <c r="D72" s="63">
        <f t="shared" si="1"/>
        <v>0</v>
      </c>
      <c r="F72" s="63">
        <v>0.0</v>
      </c>
      <c r="G72" s="63">
        <v>0.0</v>
      </c>
      <c r="H72" s="63">
        <f t="shared" si="2"/>
        <v>0</v>
      </c>
    </row>
    <row r="73" ht="15.75" customHeight="1">
      <c r="A73" s="63" t="s">
        <v>285</v>
      </c>
      <c r="B73" s="63">
        <v>0.0</v>
      </c>
      <c r="C73" s="63">
        <v>2.0</v>
      </c>
      <c r="D73" s="63">
        <f t="shared" si="1"/>
        <v>-2</v>
      </c>
      <c r="F73" s="63">
        <v>0.0</v>
      </c>
      <c r="G73" s="63">
        <v>0.0</v>
      </c>
      <c r="H73" s="63">
        <f t="shared" si="2"/>
        <v>0</v>
      </c>
    </row>
    <row r="74" ht="15.75" customHeight="1">
      <c r="A74" s="63" t="s">
        <v>341</v>
      </c>
      <c r="B74" s="63">
        <v>0.0</v>
      </c>
      <c r="C74" s="63">
        <v>0.0</v>
      </c>
      <c r="D74" s="63">
        <f t="shared" si="1"/>
        <v>0</v>
      </c>
      <c r="F74" s="63">
        <v>30.0</v>
      </c>
      <c r="G74" s="63">
        <v>3.0</v>
      </c>
      <c r="H74" s="63">
        <f t="shared" si="2"/>
        <v>27</v>
      </c>
    </row>
    <row r="75" ht="15.75" customHeight="1">
      <c r="A75" s="63" t="s">
        <v>583</v>
      </c>
      <c r="B75" s="63">
        <v>0.0</v>
      </c>
      <c r="C75" s="63">
        <v>0.0</v>
      </c>
      <c r="D75" s="63">
        <f t="shared" si="1"/>
        <v>0</v>
      </c>
      <c r="F75" s="63">
        <v>0.0</v>
      </c>
      <c r="G75" s="63">
        <v>0.0</v>
      </c>
      <c r="H75" s="63">
        <f t="shared" si="2"/>
        <v>0</v>
      </c>
    </row>
    <row r="76" ht="15.75" customHeight="1">
      <c r="A76" s="63" t="s">
        <v>497</v>
      </c>
      <c r="B76" s="63">
        <v>0.0</v>
      </c>
      <c r="C76" s="63">
        <v>0.0</v>
      </c>
      <c r="D76" s="63">
        <f t="shared" si="1"/>
        <v>0</v>
      </c>
      <c r="F76" s="63">
        <v>0.0</v>
      </c>
      <c r="G76" s="63">
        <v>0.0</v>
      </c>
      <c r="H76" s="63">
        <f t="shared" si="2"/>
        <v>0</v>
      </c>
    </row>
    <row r="77" ht="15.75" customHeight="1">
      <c r="A77" s="63" t="s">
        <v>325</v>
      </c>
      <c r="B77" s="63">
        <v>0.0</v>
      </c>
      <c r="C77" s="63">
        <v>0.0</v>
      </c>
      <c r="D77" s="63">
        <f t="shared" si="1"/>
        <v>0</v>
      </c>
      <c r="F77" s="63">
        <v>0.0</v>
      </c>
      <c r="G77" s="63">
        <v>0.0</v>
      </c>
      <c r="H77" s="63">
        <f t="shared" si="2"/>
        <v>0</v>
      </c>
    </row>
    <row r="78" ht="15.75" customHeight="1">
      <c r="A78" s="63" t="s">
        <v>464</v>
      </c>
      <c r="B78" s="63">
        <v>2.0</v>
      </c>
      <c r="C78" s="63">
        <v>0.0</v>
      </c>
      <c r="D78" s="63">
        <f t="shared" si="1"/>
        <v>2</v>
      </c>
      <c r="F78" s="63">
        <v>0.0</v>
      </c>
      <c r="G78" s="63">
        <v>0.0</v>
      </c>
      <c r="H78" s="63">
        <f t="shared" si="2"/>
        <v>0</v>
      </c>
    </row>
    <row r="79" ht="15.75" customHeight="1">
      <c r="A79" s="64" t="s">
        <v>959</v>
      </c>
      <c r="B79" s="63">
        <v>67.0</v>
      </c>
      <c r="C79" s="63">
        <v>16.0</v>
      </c>
      <c r="D79" s="63">
        <f t="shared" si="1"/>
        <v>51</v>
      </c>
      <c r="F79" s="63">
        <v>8.0</v>
      </c>
      <c r="G79" s="63">
        <v>4.0</v>
      </c>
      <c r="H79" s="63">
        <f t="shared" si="2"/>
        <v>4</v>
      </c>
    </row>
    <row r="80" ht="15.75" customHeight="1">
      <c r="A80" s="63" t="s">
        <v>684</v>
      </c>
      <c r="B80" s="63">
        <v>13.0</v>
      </c>
      <c r="C80" s="63">
        <v>0.0</v>
      </c>
      <c r="D80" s="63">
        <f t="shared" si="1"/>
        <v>13</v>
      </c>
      <c r="F80" s="63">
        <v>0.0</v>
      </c>
      <c r="G80" s="63">
        <v>0.0</v>
      </c>
      <c r="H80" s="63">
        <f t="shared" si="2"/>
        <v>0</v>
      </c>
    </row>
    <row r="81" ht="15.75" customHeight="1">
      <c r="A81" s="63" t="s">
        <v>390</v>
      </c>
      <c r="B81" s="63">
        <v>0.0</v>
      </c>
      <c r="C81" s="63">
        <v>3.0</v>
      </c>
      <c r="D81" s="63">
        <f t="shared" si="1"/>
        <v>-3</v>
      </c>
      <c r="F81" s="63">
        <v>0.0</v>
      </c>
      <c r="G81" s="63">
        <v>0.0</v>
      </c>
      <c r="H81" s="63">
        <f t="shared" si="2"/>
        <v>0</v>
      </c>
    </row>
    <row r="82" ht="15.75" customHeight="1">
      <c r="A82" s="63" t="s">
        <v>878</v>
      </c>
      <c r="B82" s="63">
        <v>4.0</v>
      </c>
      <c r="C82" s="63">
        <v>0.0</v>
      </c>
      <c r="D82" s="63">
        <f t="shared" si="1"/>
        <v>4</v>
      </c>
      <c r="F82" s="63">
        <v>0.0</v>
      </c>
      <c r="G82" s="63">
        <v>0.0</v>
      </c>
      <c r="H82" s="63">
        <f t="shared" si="2"/>
        <v>0</v>
      </c>
    </row>
    <row r="83" ht="15.75" customHeight="1">
      <c r="A83" s="63" t="s">
        <v>839</v>
      </c>
      <c r="B83" s="63">
        <v>0.0</v>
      </c>
      <c r="C83" s="63">
        <v>0.0</v>
      </c>
      <c r="D83" s="63">
        <f t="shared" si="1"/>
        <v>0</v>
      </c>
      <c r="F83" s="63">
        <v>0.0</v>
      </c>
      <c r="G83" s="63">
        <v>0.0</v>
      </c>
      <c r="H83" s="63">
        <f t="shared" si="2"/>
        <v>0</v>
      </c>
    </row>
    <row r="84" ht="15.75" customHeight="1">
      <c r="A84" s="63" t="s">
        <v>1049</v>
      </c>
      <c r="B84" s="63">
        <v>0.0</v>
      </c>
      <c r="C84" s="63">
        <v>0.0</v>
      </c>
      <c r="D84" s="63">
        <f t="shared" si="1"/>
        <v>0</v>
      </c>
      <c r="F84" s="63">
        <v>0.0</v>
      </c>
      <c r="G84" s="63">
        <v>0.0</v>
      </c>
      <c r="H84" s="63">
        <f t="shared" si="2"/>
        <v>0</v>
      </c>
    </row>
    <row r="85" ht="15.75" customHeight="1">
      <c r="A85" s="63" t="s">
        <v>827</v>
      </c>
      <c r="B85" s="63">
        <v>0.0</v>
      </c>
      <c r="C85" s="63">
        <v>4.0</v>
      </c>
      <c r="D85" s="63">
        <f t="shared" si="1"/>
        <v>-4</v>
      </c>
      <c r="F85" s="63">
        <v>0.0</v>
      </c>
      <c r="G85" s="63">
        <v>0.0</v>
      </c>
      <c r="H85" s="63">
        <f t="shared" si="2"/>
        <v>0</v>
      </c>
    </row>
    <row r="86" ht="15.75" customHeight="1">
      <c r="A86" s="63" t="s">
        <v>1009</v>
      </c>
      <c r="B86" s="63">
        <v>0.0</v>
      </c>
      <c r="C86" s="63">
        <v>0.0</v>
      </c>
      <c r="D86" s="63">
        <f t="shared" si="1"/>
        <v>0</v>
      </c>
      <c r="F86" s="63">
        <v>0.0</v>
      </c>
      <c r="G86" s="63">
        <v>0.0</v>
      </c>
      <c r="H86" s="63">
        <f t="shared" si="2"/>
        <v>0</v>
      </c>
    </row>
    <row r="87" ht="15.75" customHeight="1">
      <c r="A87" s="63" t="s">
        <v>842</v>
      </c>
      <c r="B87" s="63">
        <v>0.0</v>
      </c>
      <c r="C87" s="63">
        <v>0.0</v>
      </c>
      <c r="D87" s="63">
        <f t="shared" si="1"/>
        <v>0</v>
      </c>
      <c r="F87" s="63">
        <v>491.0</v>
      </c>
      <c r="G87" s="63">
        <v>1.0</v>
      </c>
      <c r="H87" s="63">
        <f t="shared" si="2"/>
        <v>490</v>
      </c>
    </row>
    <row r="88" ht="15.75" customHeight="1">
      <c r="A88" s="63" t="s">
        <v>711</v>
      </c>
      <c r="B88" s="63">
        <v>1.0</v>
      </c>
      <c r="C88" s="63">
        <v>14.0</v>
      </c>
      <c r="D88" s="63">
        <f t="shared" si="1"/>
        <v>-13</v>
      </c>
      <c r="F88" s="63">
        <v>0.0</v>
      </c>
      <c r="G88" s="63">
        <v>9.0</v>
      </c>
      <c r="H88" s="63">
        <f t="shared" si="2"/>
        <v>-9</v>
      </c>
    </row>
    <row r="89" ht="15.75" customHeight="1">
      <c r="A89" s="63" t="s">
        <v>678</v>
      </c>
      <c r="B89" s="63">
        <v>0.0</v>
      </c>
      <c r="C89" s="63">
        <v>0.0</v>
      </c>
      <c r="D89" s="63">
        <f t="shared" si="1"/>
        <v>0</v>
      </c>
      <c r="F89" s="63">
        <v>0.0</v>
      </c>
      <c r="G89" s="63">
        <v>0.0</v>
      </c>
      <c r="H89" s="63">
        <f t="shared" si="2"/>
        <v>0</v>
      </c>
    </row>
    <row r="90" ht="15.75" customHeight="1">
      <c r="A90" s="63" t="s">
        <v>266</v>
      </c>
      <c r="B90" s="63">
        <v>0.0</v>
      </c>
      <c r="C90" s="63">
        <v>0.0</v>
      </c>
      <c r="D90" s="63">
        <f t="shared" si="1"/>
        <v>0</v>
      </c>
      <c r="F90" s="63">
        <v>15.0</v>
      </c>
      <c r="G90" s="63">
        <v>0.0</v>
      </c>
      <c r="H90" s="63">
        <f t="shared" si="2"/>
        <v>15</v>
      </c>
    </row>
    <row r="91" ht="15.75" customHeight="1">
      <c r="A91" s="63" t="s">
        <v>872</v>
      </c>
      <c r="B91" s="63">
        <v>16.0</v>
      </c>
      <c r="C91" s="63">
        <v>0.0</v>
      </c>
      <c r="D91" s="63">
        <f t="shared" si="1"/>
        <v>16</v>
      </c>
      <c r="F91" s="63">
        <v>0.0</v>
      </c>
      <c r="G91" s="63">
        <v>0.0</v>
      </c>
      <c r="H91" s="63">
        <f t="shared" si="2"/>
        <v>0</v>
      </c>
    </row>
    <row r="92" ht="15.75" customHeight="1">
      <c r="A92" s="63" t="s">
        <v>241</v>
      </c>
      <c r="B92" s="63">
        <v>1.0</v>
      </c>
      <c r="C92" s="63">
        <v>0.0</v>
      </c>
      <c r="D92" s="63">
        <f t="shared" si="1"/>
        <v>1</v>
      </c>
      <c r="F92" s="63">
        <v>0.0</v>
      </c>
      <c r="G92" s="63">
        <v>0.0</v>
      </c>
      <c r="H92" s="63">
        <f t="shared" si="2"/>
        <v>0</v>
      </c>
    </row>
    <row r="93" ht="15.75" customHeight="1">
      <c r="A93" s="63" t="s">
        <v>378</v>
      </c>
      <c r="B93" s="63">
        <v>3.0</v>
      </c>
      <c r="C93" s="63">
        <v>191.0</v>
      </c>
      <c r="D93" s="63">
        <f t="shared" si="1"/>
        <v>-188</v>
      </c>
      <c r="F93" s="63">
        <v>0.0</v>
      </c>
      <c r="G93" s="63">
        <v>152.0</v>
      </c>
      <c r="H93" s="63">
        <f t="shared" si="2"/>
        <v>-152</v>
      </c>
    </row>
    <row r="94" ht="15.75" customHeight="1">
      <c r="A94" s="63" t="s">
        <v>796</v>
      </c>
      <c r="B94" s="63">
        <v>14.0</v>
      </c>
      <c r="C94" s="63">
        <v>579.0</v>
      </c>
      <c r="D94" s="63">
        <f t="shared" si="1"/>
        <v>-565</v>
      </c>
      <c r="F94" s="63">
        <v>0.0</v>
      </c>
      <c r="G94" s="63">
        <v>151.0</v>
      </c>
      <c r="H94" s="63">
        <f t="shared" si="2"/>
        <v>-151</v>
      </c>
    </row>
    <row r="95" ht="15.75" customHeight="1">
      <c r="A95" s="63" t="s">
        <v>358</v>
      </c>
      <c r="B95" s="63">
        <v>0.0</v>
      </c>
      <c r="C95" s="63">
        <v>0.0</v>
      </c>
      <c r="D95" s="63">
        <f t="shared" si="1"/>
        <v>0</v>
      </c>
      <c r="F95" s="63">
        <v>0.0</v>
      </c>
      <c r="G95" s="63">
        <v>0.0</v>
      </c>
      <c r="H95" s="63">
        <f t="shared" si="2"/>
        <v>0</v>
      </c>
    </row>
    <row r="96" ht="15.75" customHeight="1">
      <c r="A96" s="63" t="s">
        <v>1031</v>
      </c>
      <c r="B96" s="63">
        <v>20.0</v>
      </c>
      <c r="C96" s="63">
        <v>2.0</v>
      </c>
      <c r="D96" s="63">
        <f t="shared" si="1"/>
        <v>18</v>
      </c>
      <c r="F96" s="63">
        <v>0.0</v>
      </c>
      <c r="G96" s="63">
        <v>0.0</v>
      </c>
      <c r="H96" s="63">
        <f t="shared" si="2"/>
        <v>0</v>
      </c>
    </row>
    <row r="97" ht="15.75" customHeight="1">
      <c r="A97" s="63" t="s">
        <v>315</v>
      </c>
      <c r="B97" s="63">
        <v>26.0</v>
      </c>
      <c r="C97" s="63">
        <v>1.0</v>
      </c>
      <c r="D97" s="63">
        <f t="shared" si="1"/>
        <v>25</v>
      </c>
      <c r="F97" s="63">
        <v>0.0</v>
      </c>
      <c r="G97" s="63">
        <v>0.0</v>
      </c>
      <c r="H97" s="63">
        <f t="shared" si="2"/>
        <v>0</v>
      </c>
    </row>
    <row r="98" ht="15.75" customHeight="1">
      <c r="A98" s="63" t="s">
        <v>580</v>
      </c>
      <c r="B98" s="63">
        <v>42.0</v>
      </c>
      <c r="C98" s="63">
        <v>4.0</v>
      </c>
      <c r="D98" s="63">
        <f t="shared" si="1"/>
        <v>38</v>
      </c>
      <c r="F98" s="63">
        <v>0.0</v>
      </c>
      <c r="G98" s="63">
        <v>0.0</v>
      </c>
      <c r="H98" s="63">
        <f t="shared" si="2"/>
        <v>0</v>
      </c>
    </row>
    <row r="99" ht="15.75" customHeight="1">
      <c r="A99" s="63" t="s">
        <v>550</v>
      </c>
      <c r="B99" s="63">
        <v>0.0</v>
      </c>
      <c r="C99" s="63">
        <v>8.0</v>
      </c>
      <c r="D99" s="63">
        <f t="shared" si="1"/>
        <v>-8</v>
      </c>
      <c r="F99" s="63">
        <v>0.0</v>
      </c>
      <c r="G99" s="63">
        <v>3.0</v>
      </c>
      <c r="H99" s="63">
        <f t="shared" si="2"/>
        <v>-3</v>
      </c>
    </row>
    <row r="100" ht="15.75" customHeight="1">
      <c r="A100" s="63" t="s">
        <v>887</v>
      </c>
      <c r="B100" s="63">
        <v>0.0</v>
      </c>
      <c r="C100" s="63">
        <v>0.0</v>
      </c>
      <c r="D100" s="63">
        <f t="shared" si="1"/>
        <v>0</v>
      </c>
      <c r="F100" s="63">
        <v>0.0</v>
      </c>
      <c r="G100" s="63">
        <v>0.0</v>
      </c>
      <c r="H100" s="63">
        <f t="shared" si="2"/>
        <v>0</v>
      </c>
    </row>
    <row r="101" ht="15.75" customHeight="1">
      <c r="A101" s="63" t="s">
        <v>726</v>
      </c>
      <c r="B101" s="63">
        <v>0.0</v>
      </c>
      <c r="C101" s="63">
        <v>87.0</v>
      </c>
      <c r="D101" s="63">
        <f t="shared" si="1"/>
        <v>-87</v>
      </c>
      <c r="F101" s="63">
        <v>0.0</v>
      </c>
      <c r="G101" s="63">
        <v>124.0</v>
      </c>
      <c r="H101" s="63">
        <f t="shared" si="2"/>
        <v>-124</v>
      </c>
    </row>
    <row r="102" ht="15.75" customHeight="1">
      <c r="A102" s="63" t="s">
        <v>1003</v>
      </c>
      <c r="B102" s="63">
        <v>0.0</v>
      </c>
      <c r="C102" s="63">
        <v>0.0</v>
      </c>
      <c r="D102" s="63">
        <f t="shared" si="1"/>
        <v>0</v>
      </c>
      <c r="F102" s="63">
        <v>0.0</v>
      </c>
      <c r="G102" s="63">
        <v>0.0</v>
      </c>
      <c r="H102" s="63">
        <f t="shared" si="2"/>
        <v>0</v>
      </c>
    </row>
    <row r="103" ht="15.75" customHeight="1">
      <c r="A103" s="63" t="s">
        <v>925</v>
      </c>
      <c r="B103" s="63">
        <v>57.0</v>
      </c>
      <c r="C103" s="63">
        <v>187.0</v>
      </c>
      <c r="D103" s="63">
        <f t="shared" si="1"/>
        <v>-130</v>
      </c>
      <c r="F103" s="63">
        <v>0.0</v>
      </c>
      <c r="G103" s="63">
        <v>49.0</v>
      </c>
      <c r="H103" s="63">
        <f t="shared" si="2"/>
        <v>-49</v>
      </c>
    </row>
    <row r="104" ht="15.75" customHeight="1">
      <c r="A104" s="63" t="s">
        <v>614</v>
      </c>
      <c r="B104" s="63">
        <v>102.0</v>
      </c>
      <c r="C104" s="63">
        <v>0.0</v>
      </c>
      <c r="D104" s="63">
        <f t="shared" si="1"/>
        <v>102</v>
      </c>
      <c r="F104" s="63">
        <v>99.0</v>
      </c>
      <c r="G104" s="63">
        <v>0.0</v>
      </c>
      <c r="H104" s="63">
        <f t="shared" si="2"/>
        <v>99</v>
      </c>
    </row>
    <row r="105" ht="15.75" customHeight="1">
      <c r="A105" s="63" t="s">
        <v>547</v>
      </c>
      <c r="B105" s="63">
        <v>10.0</v>
      </c>
      <c r="C105" s="63">
        <v>0.0</v>
      </c>
      <c r="D105" s="63">
        <f t="shared" si="1"/>
        <v>10</v>
      </c>
      <c r="F105" s="63">
        <v>0.0</v>
      </c>
      <c r="G105" s="63">
        <v>0.0</v>
      </c>
      <c r="H105" s="63">
        <f t="shared" si="2"/>
        <v>0</v>
      </c>
    </row>
    <row r="106" ht="15.75" customHeight="1">
      <c r="A106" s="63" t="s">
        <v>544</v>
      </c>
      <c r="B106" s="63">
        <v>0.0</v>
      </c>
      <c r="C106" s="63">
        <v>0.0</v>
      </c>
      <c r="D106" s="63">
        <f t="shared" si="1"/>
        <v>0</v>
      </c>
      <c r="F106" s="63">
        <v>0.0</v>
      </c>
      <c r="G106" s="63">
        <v>0.0</v>
      </c>
      <c r="H106" s="63">
        <f t="shared" si="2"/>
        <v>0</v>
      </c>
    </row>
    <row r="107" ht="15.75" customHeight="1">
      <c r="A107" s="63" t="s">
        <v>962</v>
      </c>
      <c r="B107" s="63">
        <v>0.0</v>
      </c>
      <c r="C107" s="63">
        <v>0.0</v>
      </c>
      <c r="D107" s="63">
        <f t="shared" si="1"/>
        <v>0</v>
      </c>
      <c r="F107" s="63">
        <v>0.0</v>
      </c>
      <c r="G107" s="63">
        <v>0.0</v>
      </c>
      <c r="H107" s="63">
        <f t="shared" si="2"/>
        <v>0</v>
      </c>
    </row>
    <row r="108" ht="15.75" customHeight="1">
      <c r="A108" s="63" t="s">
        <v>455</v>
      </c>
      <c r="B108" s="63">
        <v>11.0</v>
      </c>
      <c r="C108" s="63">
        <v>0.0</v>
      </c>
      <c r="D108" s="63">
        <f t="shared" si="1"/>
        <v>11</v>
      </c>
      <c r="F108" s="63">
        <v>0.0</v>
      </c>
      <c r="G108" s="63">
        <v>0.0</v>
      </c>
      <c r="H108" s="63">
        <f t="shared" si="2"/>
        <v>0</v>
      </c>
    </row>
    <row r="109" ht="15.75" customHeight="1">
      <c r="A109" s="63" t="s">
        <v>848</v>
      </c>
      <c r="B109" s="63">
        <v>0.0</v>
      </c>
      <c r="C109" s="63">
        <v>14.0</v>
      </c>
      <c r="D109" s="63">
        <f t="shared" si="1"/>
        <v>-14</v>
      </c>
      <c r="F109" s="63">
        <v>0.0</v>
      </c>
      <c r="G109" s="63">
        <v>1.0</v>
      </c>
      <c r="H109" s="63">
        <f t="shared" si="2"/>
        <v>-1</v>
      </c>
    </row>
    <row r="110" ht="15.75" customHeight="1">
      <c r="A110" s="63" t="s">
        <v>300</v>
      </c>
      <c r="B110" s="63">
        <v>10.0</v>
      </c>
      <c r="C110" s="63">
        <v>0.0</v>
      </c>
      <c r="D110" s="63">
        <f t="shared" si="1"/>
        <v>10</v>
      </c>
      <c r="F110" s="63">
        <v>1.0</v>
      </c>
      <c r="G110" s="63">
        <v>0.0</v>
      </c>
      <c r="H110" s="63">
        <f t="shared" si="2"/>
        <v>1</v>
      </c>
    </row>
    <row r="111" ht="15.75" customHeight="1">
      <c r="A111" s="63" t="s">
        <v>962</v>
      </c>
      <c r="B111" s="63">
        <v>0.0</v>
      </c>
      <c r="C111" s="63">
        <v>0.0</v>
      </c>
      <c r="D111" s="63">
        <f t="shared" si="1"/>
        <v>0</v>
      </c>
      <c r="F111" s="63">
        <v>0.0</v>
      </c>
      <c r="G111" s="63">
        <v>0.0</v>
      </c>
      <c r="H111" s="63">
        <f t="shared" si="2"/>
        <v>0</v>
      </c>
    </row>
    <row r="112" ht="15.75" customHeight="1">
      <c r="A112" s="63" t="s">
        <v>355</v>
      </c>
      <c r="B112" s="63">
        <v>162.0</v>
      </c>
      <c r="C112" s="63">
        <v>0.0</v>
      </c>
      <c r="D112" s="63">
        <f t="shared" si="1"/>
        <v>162</v>
      </c>
      <c r="F112" s="63">
        <v>0.0</v>
      </c>
      <c r="G112" s="63">
        <v>0.0</v>
      </c>
      <c r="H112" s="63">
        <f t="shared" si="2"/>
        <v>0</v>
      </c>
    </row>
    <row r="113" ht="15.75" customHeight="1">
      <c r="A113" s="63" t="s">
        <v>296</v>
      </c>
      <c r="B113" s="63">
        <v>79.0</v>
      </c>
      <c r="C113" s="63">
        <v>1.0</v>
      </c>
      <c r="D113" s="63">
        <f t="shared" si="1"/>
        <v>78</v>
      </c>
      <c r="F113" s="63">
        <v>0.0</v>
      </c>
      <c r="G113" s="63">
        <v>0.0</v>
      </c>
      <c r="H113" s="63">
        <f t="shared" si="2"/>
        <v>0</v>
      </c>
    </row>
    <row r="114" ht="15.75" customHeight="1">
      <c r="A114" s="63" t="s">
        <v>702</v>
      </c>
      <c r="B114" s="63">
        <v>15.0</v>
      </c>
      <c r="C114" s="63">
        <v>30.0</v>
      </c>
      <c r="D114" s="63">
        <f t="shared" si="1"/>
        <v>-15</v>
      </c>
      <c r="F114" s="63">
        <v>15.0</v>
      </c>
      <c r="G114" s="63">
        <v>20.0</v>
      </c>
      <c r="H114" s="63">
        <f t="shared" si="2"/>
        <v>-5</v>
      </c>
    </row>
    <row r="115" ht="15.75" customHeight="1">
      <c r="A115" s="63" t="s">
        <v>817</v>
      </c>
      <c r="B115" s="63">
        <v>1.0</v>
      </c>
      <c r="C115" s="63">
        <v>0.0</v>
      </c>
      <c r="D115" s="63">
        <f t="shared" si="1"/>
        <v>1</v>
      </c>
      <c r="F115" s="63">
        <v>0.0</v>
      </c>
      <c r="G115" s="63">
        <v>0.0</v>
      </c>
      <c r="H115" s="63">
        <f t="shared" si="2"/>
        <v>0</v>
      </c>
    </row>
    <row r="116" ht="15.75" customHeight="1">
      <c r="A116" s="63" t="s">
        <v>656</v>
      </c>
      <c r="B116" s="63">
        <v>63.0</v>
      </c>
      <c r="C116" s="63">
        <v>0.0</v>
      </c>
      <c r="D116" s="63">
        <f t="shared" si="1"/>
        <v>63</v>
      </c>
      <c r="F116" s="63">
        <v>0.0</v>
      </c>
      <c r="G116" s="63">
        <v>0.0</v>
      </c>
      <c r="H116" s="63">
        <f t="shared" si="2"/>
        <v>0</v>
      </c>
    </row>
    <row r="117" ht="15.75" customHeight="1">
      <c r="A117" s="63" t="s">
        <v>860</v>
      </c>
      <c r="B117" s="63">
        <v>3.0</v>
      </c>
      <c r="C117" s="63">
        <v>1.0</v>
      </c>
      <c r="D117" s="63">
        <f t="shared" si="1"/>
        <v>2</v>
      </c>
      <c r="F117" s="63">
        <v>0.0</v>
      </c>
      <c r="G117" s="63">
        <v>0.0</v>
      </c>
      <c r="H117" s="63">
        <f t="shared" si="2"/>
        <v>0</v>
      </c>
    </row>
    <row r="118" ht="15.75" customHeight="1">
      <c r="A118" s="63" t="s">
        <v>775</v>
      </c>
      <c r="B118" s="63">
        <v>0.0</v>
      </c>
      <c r="C118" s="63">
        <v>0.0</v>
      </c>
      <c r="D118" s="63">
        <f t="shared" si="1"/>
        <v>0</v>
      </c>
      <c r="F118" s="63">
        <v>0.0</v>
      </c>
      <c r="G118" s="63">
        <v>0.0</v>
      </c>
      <c r="H118" s="63">
        <f t="shared" si="2"/>
        <v>0</v>
      </c>
    </row>
    <row r="119" ht="15.75" customHeight="1">
      <c r="A119" s="63" t="s">
        <v>896</v>
      </c>
      <c r="B119" s="63">
        <v>14.0</v>
      </c>
      <c r="C119" s="63">
        <v>0.0</v>
      </c>
      <c r="D119" s="63">
        <f t="shared" si="1"/>
        <v>14</v>
      </c>
      <c r="F119" s="63">
        <v>0.0</v>
      </c>
      <c r="G119" s="63">
        <v>0.0</v>
      </c>
      <c r="H119" s="63">
        <f t="shared" si="2"/>
        <v>0</v>
      </c>
    </row>
    <row r="120" ht="15.75" customHeight="1">
      <c r="A120" s="63" t="s">
        <v>793</v>
      </c>
      <c r="B120" s="63">
        <v>77.0</v>
      </c>
      <c r="C120" s="63">
        <v>0.0</v>
      </c>
      <c r="D120" s="63">
        <f t="shared" si="1"/>
        <v>77</v>
      </c>
      <c r="F120" s="63">
        <v>0.0</v>
      </c>
      <c r="G120" s="63">
        <v>0.0</v>
      </c>
      <c r="H120" s="63">
        <f t="shared" si="2"/>
        <v>0</v>
      </c>
    </row>
    <row r="121" ht="15.75" customHeight="1">
      <c r="A121" s="63" t="s">
        <v>909</v>
      </c>
      <c r="B121" s="63">
        <v>73.0</v>
      </c>
      <c r="C121" s="63">
        <v>2.0</v>
      </c>
      <c r="D121" s="63">
        <f t="shared" si="1"/>
        <v>71</v>
      </c>
      <c r="F121" s="63">
        <v>0.0</v>
      </c>
      <c r="G121" s="63">
        <v>0.0</v>
      </c>
      <c r="H121" s="63">
        <f t="shared" si="2"/>
        <v>0</v>
      </c>
    </row>
    <row r="122" ht="15.75" customHeight="1">
      <c r="A122" s="63" t="s">
        <v>281</v>
      </c>
      <c r="B122" s="63">
        <v>55.0</v>
      </c>
      <c r="C122" s="63">
        <v>2.0</v>
      </c>
      <c r="D122" s="63">
        <f t="shared" si="1"/>
        <v>53</v>
      </c>
      <c r="F122" s="63">
        <v>249.0</v>
      </c>
      <c r="G122" s="63">
        <v>1.0</v>
      </c>
      <c r="H122" s="63">
        <f t="shared" si="2"/>
        <v>248</v>
      </c>
    </row>
    <row r="123" ht="15.75" customHeight="1">
      <c r="A123" s="63" t="s">
        <v>851</v>
      </c>
      <c r="B123" s="63">
        <v>105.0</v>
      </c>
      <c r="C123" s="63">
        <v>165.0</v>
      </c>
      <c r="D123" s="63">
        <f t="shared" si="1"/>
        <v>-60</v>
      </c>
      <c r="F123" s="63">
        <v>33.0</v>
      </c>
      <c r="G123" s="63">
        <v>428.0</v>
      </c>
      <c r="H123" s="63">
        <f t="shared" si="2"/>
        <v>-395</v>
      </c>
    </row>
    <row r="124" ht="15.75" customHeight="1">
      <c r="A124" s="63" t="s">
        <v>568</v>
      </c>
      <c r="B124" s="63">
        <v>0.0</v>
      </c>
      <c r="C124" s="63">
        <v>0.0</v>
      </c>
      <c r="D124" s="63">
        <f t="shared" si="1"/>
        <v>0</v>
      </c>
      <c r="F124" s="63">
        <v>0.0</v>
      </c>
      <c r="G124" s="63">
        <v>112.0</v>
      </c>
      <c r="H124" s="63">
        <f t="shared" si="2"/>
        <v>-112</v>
      </c>
    </row>
    <row r="125" ht="15.75" customHeight="1">
      <c r="A125" s="63" t="s">
        <v>720</v>
      </c>
      <c r="B125" s="63">
        <v>205.0</v>
      </c>
      <c r="C125" s="63">
        <v>0.0</v>
      </c>
      <c r="D125" s="63">
        <f t="shared" si="1"/>
        <v>205</v>
      </c>
      <c r="F125" s="63">
        <v>0.0</v>
      </c>
      <c r="G125" s="63">
        <v>0.0</v>
      </c>
      <c r="H125" s="63">
        <f t="shared" si="2"/>
        <v>0</v>
      </c>
    </row>
    <row r="126" ht="15.75" customHeight="1">
      <c r="A126" s="63" t="s">
        <v>665</v>
      </c>
      <c r="B126" s="63">
        <v>3.0</v>
      </c>
      <c r="C126" s="63">
        <v>27.0</v>
      </c>
      <c r="D126" s="63">
        <f t="shared" si="1"/>
        <v>-24</v>
      </c>
      <c r="F126" s="63">
        <v>0.0</v>
      </c>
      <c r="G126" s="63">
        <v>40.0</v>
      </c>
      <c r="H126" s="63">
        <f t="shared" si="2"/>
        <v>-40</v>
      </c>
    </row>
    <row r="127" ht="15.75" customHeight="1">
      <c r="A127" s="63" t="s">
        <v>915</v>
      </c>
      <c r="B127" s="63">
        <v>53.0</v>
      </c>
      <c r="C127" s="63">
        <v>34.0</v>
      </c>
      <c r="D127" s="63">
        <f t="shared" si="1"/>
        <v>19</v>
      </c>
      <c r="F127" s="63">
        <v>0.0</v>
      </c>
      <c r="G127" s="63">
        <v>1.0</v>
      </c>
      <c r="H127" s="63">
        <f t="shared" si="2"/>
        <v>-1</v>
      </c>
    </row>
    <row r="128" ht="15.75" customHeight="1">
      <c r="A128" s="63" t="s">
        <v>830</v>
      </c>
      <c r="B128" s="63">
        <v>2.0</v>
      </c>
      <c r="C128" s="63">
        <v>0.0</v>
      </c>
      <c r="D128" s="63">
        <f t="shared" si="1"/>
        <v>2</v>
      </c>
      <c r="F128" s="63">
        <v>0.0</v>
      </c>
      <c r="G128" s="63">
        <v>0.0</v>
      </c>
      <c r="H128" s="63">
        <f t="shared" si="2"/>
        <v>0</v>
      </c>
    </row>
    <row r="129" ht="15.75" customHeight="1">
      <c r="A129" s="63" t="s">
        <v>772</v>
      </c>
      <c r="B129" s="63">
        <v>34.0</v>
      </c>
      <c r="C129" s="63">
        <v>0.0</v>
      </c>
      <c r="D129" s="63">
        <f t="shared" si="1"/>
        <v>34</v>
      </c>
      <c r="F129" s="63">
        <v>0.0</v>
      </c>
      <c r="G129" s="63">
        <v>0.0</v>
      </c>
      <c r="H129" s="63">
        <f t="shared" si="2"/>
        <v>0</v>
      </c>
    </row>
    <row r="130" ht="15.75" customHeight="1">
      <c r="A130" s="63" t="s">
        <v>833</v>
      </c>
      <c r="B130" s="63">
        <v>0.0</v>
      </c>
      <c r="C130" s="63">
        <v>0.0</v>
      </c>
      <c r="D130" s="63">
        <f t="shared" si="1"/>
        <v>0</v>
      </c>
      <c r="F130" s="63">
        <v>0.0</v>
      </c>
      <c r="G130" s="63">
        <v>0.0</v>
      </c>
      <c r="H130" s="63">
        <f t="shared" si="2"/>
        <v>0</v>
      </c>
    </row>
    <row r="131" ht="15.75" customHeight="1">
      <c r="A131" s="63" t="s">
        <v>574</v>
      </c>
      <c r="B131" s="63">
        <v>0.0</v>
      </c>
      <c r="C131" s="63">
        <v>0.0</v>
      </c>
      <c r="D131" s="63">
        <f t="shared" si="1"/>
        <v>0</v>
      </c>
      <c r="F131" s="63">
        <v>395.0</v>
      </c>
      <c r="G131" s="63">
        <v>17.0</v>
      </c>
      <c r="H131" s="63">
        <f t="shared" si="2"/>
        <v>378</v>
      </c>
    </row>
    <row r="132" ht="15.75" customHeight="1">
      <c r="A132" s="63" t="s">
        <v>480</v>
      </c>
      <c r="B132" s="63">
        <v>3.0</v>
      </c>
      <c r="C132" s="63">
        <v>18.0</v>
      </c>
      <c r="D132" s="63">
        <f t="shared" si="1"/>
        <v>-15</v>
      </c>
      <c r="F132" s="63">
        <v>0.0</v>
      </c>
      <c r="G132" s="63">
        <v>7.0</v>
      </c>
      <c r="H132" s="63">
        <f t="shared" si="2"/>
        <v>-7</v>
      </c>
    </row>
    <row r="133" ht="15.75" customHeight="1">
      <c r="A133" s="63" t="s">
        <v>941</v>
      </c>
      <c r="B133" s="63">
        <v>0.0</v>
      </c>
      <c r="C133" s="63">
        <v>0.0</v>
      </c>
      <c r="D133" s="63">
        <f t="shared" si="1"/>
        <v>0</v>
      </c>
      <c r="F133" s="63">
        <v>38.0</v>
      </c>
      <c r="G133" s="63">
        <v>0.0</v>
      </c>
      <c r="H133" s="63">
        <f t="shared" si="2"/>
        <v>38</v>
      </c>
    </row>
    <row r="134" ht="15.75" customHeight="1">
      <c r="A134" s="63" t="s">
        <v>881</v>
      </c>
      <c r="B134" s="63">
        <v>2.0</v>
      </c>
      <c r="C134" s="63">
        <v>0.0</v>
      </c>
      <c r="D134" s="63">
        <f t="shared" si="1"/>
        <v>2</v>
      </c>
      <c r="F134" s="63">
        <v>0.0</v>
      </c>
      <c r="G134" s="63">
        <v>0.0</v>
      </c>
      <c r="H134" s="63">
        <f t="shared" si="2"/>
        <v>0</v>
      </c>
    </row>
    <row r="135" ht="15.75" customHeight="1">
      <c r="A135" s="63" t="s">
        <v>556</v>
      </c>
      <c r="B135" s="63">
        <v>445.0</v>
      </c>
      <c r="C135" s="63">
        <v>0.0</v>
      </c>
      <c r="D135" s="63">
        <f t="shared" si="1"/>
        <v>445</v>
      </c>
      <c r="F135" s="63">
        <v>848.0</v>
      </c>
      <c r="G135" s="63">
        <v>0.0</v>
      </c>
      <c r="H135" s="63">
        <f t="shared" si="2"/>
        <v>848</v>
      </c>
    </row>
    <row r="136" ht="15.75" customHeight="1">
      <c r="A136" s="63" t="s">
        <v>814</v>
      </c>
      <c r="B136" s="63">
        <v>0.0</v>
      </c>
      <c r="C136" s="63">
        <v>0.0</v>
      </c>
      <c r="D136" s="63">
        <f t="shared" si="1"/>
        <v>0</v>
      </c>
      <c r="F136" s="63">
        <v>0.0</v>
      </c>
      <c r="G136" s="63">
        <v>0.0</v>
      </c>
      <c r="H136" s="63">
        <f t="shared" si="2"/>
        <v>0</v>
      </c>
    </row>
    <row r="137" ht="15.75" customHeight="1">
      <c r="A137" s="63" t="s">
        <v>277</v>
      </c>
      <c r="B137" s="63">
        <v>0.0</v>
      </c>
      <c r="C137" s="63">
        <v>0.0</v>
      </c>
      <c r="D137" s="63">
        <f t="shared" si="1"/>
        <v>0</v>
      </c>
      <c r="F137" s="63">
        <v>53.0</v>
      </c>
      <c r="G137" s="63">
        <v>0.0</v>
      </c>
      <c r="H137" s="63">
        <f t="shared" si="2"/>
        <v>53</v>
      </c>
    </row>
    <row r="138" ht="15.75" customHeight="1">
      <c r="A138" s="63" t="s">
        <v>730</v>
      </c>
      <c r="B138" s="63">
        <v>0.0</v>
      </c>
      <c r="C138" s="63">
        <v>0.0</v>
      </c>
      <c r="D138" s="63">
        <f t="shared" si="1"/>
        <v>0</v>
      </c>
      <c r="F138" s="63">
        <v>0.0</v>
      </c>
      <c r="G138" s="63">
        <v>0.0</v>
      </c>
      <c r="H138" s="63">
        <f t="shared" si="2"/>
        <v>0</v>
      </c>
    </row>
    <row r="139" ht="15.75" customHeight="1">
      <c r="A139" s="63" t="s">
        <v>598</v>
      </c>
      <c r="B139" s="63">
        <v>5.0</v>
      </c>
      <c r="C139" s="63">
        <v>0.0</v>
      </c>
      <c r="D139" s="63">
        <f t="shared" si="1"/>
        <v>5</v>
      </c>
      <c r="F139" s="63">
        <v>0.0</v>
      </c>
      <c r="G139" s="63">
        <v>0.0</v>
      </c>
      <c r="H139" s="63">
        <f t="shared" si="2"/>
        <v>0</v>
      </c>
    </row>
    <row r="140" ht="15.75" customHeight="1">
      <c r="A140" s="63" t="s">
        <v>541</v>
      </c>
      <c r="B140" s="63">
        <v>9.0</v>
      </c>
      <c r="C140" s="63">
        <v>0.0</v>
      </c>
      <c r="D140" s="63">
        <f t="shared" si="1"/>
        <v>9</v>
      </c>
      <c r="F140" s="63">
        <v>3.0</v>
      </c>
      <c r="G140" s="63">
        <v>0.0</v>
      </c>
      <c r="H140" s="63">
        <f t="shared" si="2"/>
        <v>3</v>
      </c>
    </row>
    <row r="141" ht="15.75" customHeight="1">
      <c r="A141" s="63" t="s">
        <v>318</v>
      </c>
      <c r="B141" s="63">
        <v>41.0</v>
      </c>
      <c r="C141" s="63">
        <v>0.0</v>
      </c>
      <c r="D141" s="63">
        <f t="shared" si="1"/>
        <v>41</v>
      </c>
      <c r="F141" s="63">
        <v>0.0</v>
      </c>
      <c r="G141" s="63">
        <v>0.0</v>
      </c>
      <c r="H141" s="63">
        <f t="shared" si="2"/>
        <v>0</v>
      </c>
    </row>
    <row r="142" ht="15.75" customHeight="1">
      <c r="A142" s="63" t="s">
        <v>430</v>
      </c>
      <c r="B142" s="63">
        <v>0.0</v>
      </c>
      <c r="C142" s="63">
        <v>0.0</v>
      </c>
      <c r="D142" s="63">
        <f t="shared" si="1"/>
        <v>0</v>
      </c>
      <c r="F142" s="63">
        <v>0.0</v>
      </c>
      <c r="G142" s="63">
        <v>0.0</v>
      </c>
      <c r="H142" s="63">
        <f t="shared" si="2"/>
        <v>0</v>
      </c>
    </row>
    <row r="143" ht="15.75" customHeight="1">
      <c r="A143" s="63" t="s">
        <v>592</v>
      </c>
      <c r="B143" s="63">
        <v>0.0</v>
      </c>
      <c r="C143" s="63">
        <v>0.0</v>
      </c>
      <c r="D143" s="63">
        <f t="shared" si="1"/>
        <v>0</v>
      </c>
      <c r="F143" s="63">
        <v>0.0</v>
      </c>
      <c r="G143" s="63">
        <v>0.0</v>
      </c>
      <c r="H143" s="63">
        <f t="shared" si="2"/>
        <v>0</v>
      </c>
    </row>
    <row r="144" ht="15.75" customHeight="1">
      <c r="A144" s="63" t="s">
        <v>932</v>
      </c>
      <c r="B144" s="63">
        <v>9.0</v>
      </c>
      <c r="C144" s="63">
        <v>0.0</v>
      </c>
      <c r="D144" s="63">
        <f t="shared" si="1"/>
        <v>9</v>
      </c>
      <c r="F144" s="63">
        <v>0.0</v>
      </c>
      <c r="G144" s="63">
        <v>0.0</v>
      </c>
      <c r="H144" s="63">
        <f t="shared" si="2"/>
        <v>0</v>
      </c>
    </row>
    <row r="145" ht="15.75" customHeight="1">
      <c r="A145" s="63" t="s">
        <v>515</v>
      </c>
      <c r="B145" s="63">
        <v>0.0</v>
      </c>
      <c r="C145" s="63">
        <v>143.0</v>
      </c>
      <c r="D145" s="63">
        <f t="shared" si="1"/>
        <v>-143</v>
      </c>
      <c r="F145" s="63">
        <v>0.0</v>
      </c>
      <c r="G145" s="63">
        <v>83.0</v>
      </c>
      <c r="H145" s="63">
        <f t="shared" si="2"/>
        <v>-83</v>
      </c>
    </row>
    <row r="146" ht="15.75" customHeight="1">
      <c r="A146" s="63" t="s">
        <v>790</v>
      </c>
      <c r="B146" s="63">
        <v>52.0</v>
      </c>
      <c r="C146" s="63">
        <v>157.0</v>
      </c>
      <c r="D146" s="63">
        <f t="shared" si="1"/>
        <v>-105</v>
      </c>
      <c r="F146" s="63">
        <v>0.0</v>
      </c>
      <c r="G146" s="63">
        <v>0.0</v>
      </c>
      <c r="H146" s="63">
        <f t="shared" si="2"/>
        <v>0</v>
      </c>
    </row>
    <row r="147" ht="15.75" customHeight="1">
      <c r="A147" s="63" t="s">
        <v>308</v>
      </c>
      <c r="B147" s="63">
        <v>0.0</v>
      </c>
      <c r="C147" s="63">
        <v>0.0</v>
      </c>
      <c r="D147" s="63">
        <f t="shared" si="1"/>
        <v>0</v>
      </c>
      <c r="F147" s="63">
        <v>0.0</v>
      </c>
      <c r="G147" s="63">
        <v>0.0</v>
      </c>
      <c r="H147" s="63">
        <f t="shared" si="2"/>
        <v>0</v>
      </c>
    </row>
    <row r="148" ht="15.75" customHeight="1">
      <c r="A148" s="63" t="s">
        <v>577</v>
      </c>
      <c r="B148" s="63">
        <v>34.0</v>
      </c>
      <c r="C148" s="63">
        <v>71.0</v>
      </c>
      <c r="D148" s="63">
        <f t="shared" si="1"/>
        <v>-37</v>
      </c>
      <c r="F148" s="63">
        <v>1.0</v>
      </c>
      <c r="G148" s="63">
        <v>73.0</v>
      </c>
      <c r="H148" s="63">
        <f t="shared" si="2"/>
        <v>-72</v>
      </c>
    </row>
    <row r="149" ht="15.75" customHeight="1">
      <c r="A149" s="63" t="s">
        <v>745</v>
      </c>
      <c r="B149" s="63">
        <v>0.0</v>
      </c>
      <c r="C149" s="63">
        <v>0.0</v>
      </c>
      <c r="D149" s="63">
        <f t="shared" si="1"/>
        <v>0</v>
      </c>
      <c r="F149" s="63">
        <v>30.0</v>
      </c>
      <c r="G149" s="63">
        <v>24.0</v>
      </c>
      <c r="H149" s="63">
        <f t="shared" si="2"/>
        <v>6</v>
      </c>
    </row>
    <row r="150" ht="15.75" customHeight="1">
      <c r="A150" s="63" t="s">
        <v>415</v>
      </c>
      <c r="B150" s="63">
        <v>0.0</v>
      </c>
      <c r="C150" s="63">
        <v>0.0</v>
      </c>
      <c r="D150" s="63">
        <f t="shared" si="1"/>
        <v>0</v>
      </c>
      <c r="F150" s="63">
        <v>2.0</v>
      </c>
      <c r="G150" s="63">
        <v>0.0</v>
      </c>
      <c r="H150" s="63">
        <f t="shared" si="2"/>
        <v>2</v>
      </c>
    </row>
    <row r="151" ht="15.75" customHeight="1">
      <c r="A151" s="63" t="s">
        <v>869</v>
      </c>
      <c r="B151" s="63">
        <v>26.0</v>
      </c>
      <c r="C151" s="63">
        <v>2.0</v>
      </c>
      <c r="D151" s="63">
        <f t="shared" si="1"/>
        <v>24</v>
      </c>
      <c r="F151" s="63">
        <v>0.0</v>
      </c>
      <c r="G151" s="63">
        <v>0.0</v>
      </c>
      <c r="H151" s="63">
        <f t="shared" si="2"/>
        <v>0</v>
      </c>
    </row>
    <row r="152" ht="15.75" customHeight="1">
      <c r="A152" s="63" t="s">
        <v>470</v>
      </c>
      <c r="B152" s="63">
        <v>0.0</v>
      </c>
      <c r="C152" s="63">
        <v>0.0</v>
      </c>
      <c r="D152" s="63">
        <f t="shared" si="1"/>
        <v>0</v>
      </c>
      <c r="F152" s="63">
        <v>0.0</v>
      </c>
      <c r="G152" s="63">
        <v>0.0</v>
      </c>
      <c r="H152" s="63">
        <f t="shared" si="2"/>
        <v>0</v>
      </c>
    </row>
    <row r="153" ht="15.75" customHeight="1">
      <c r="A153" s="63" t="s">
        <v>436</v>
      </c>
      <c r="B153" s="63">
        <v>55.0</v>
      </c>
      <c r="C153" s="63">
        <v>1.0</v>
      </c>
      <c r="D153" s="63">
        <f t="shared" si="1"/>
        <v>54</v>
      </c>
      <c r="F153" s="63">
        <v>0.0</v>
      </c>
      <c r="G153" s="63">
        <v>0.0</v>
      </c>
      <c r="H153" s="63">
        <f t="shared" si="2"/>
        <v>0</v>
      </c>
    </row>
    <row r="154" ht="15.75" customHeight="1">
      <c r="A154" s="63" t="s">
        <v>653</v>
      </c>
      <c r="B154" s="63">
        <v>0.0</v>
      </c>
      <c r="C154" s="63">
        <v>7.0</v>
      </c>
      <c r="D154" s="63">
        <f t="shared" si="1"/>
        <v>-7</v>
      </c>
      <c r="F154" s="63">
        <v>0.0</v>
      </c>
      <c r="G154" s="63">
        <v>26.0</v>
      </c>
      <c r="H154" s="63">
        <f t="shared" si="2"/>
        <v>-26</v>
      </c>
    </row>
    <row r="155" ht="15.75" customHeight="1">
      <c r="A155" s="63" t="s">
        <v>427</v>
      </c>
      <c r="B155" s="63">
        <v>3.0</v>
      </c>
      <c r="C155" s="63">
        <v>0.0</v>
      </c>
      <c r="D155" s="63">
        <f t="shared" si="1"/>
        <v>3</v>
      </c>
      <c r="F155" s="63">
        <v>127.0</v>
      </c>
      <c r="G155" s="63">
        <v>0.0</v>
      </c>
      <c r="H155" s="63">
        <f t="shared" si="2"/>
        <v>127</v>
      </c>
    </row>
    <row r="156" ht="15.75" customHeight="1">
      <c r="A156" s="63" t="s">
        <v>672</v>
      </c>
      <c r="B156" s="63">
        <v>415.0</v>
      </c>
      <c r="C156" s="63">
        <v>28.0</v>
      </c>
      <c r="D156" s="63">
        <f t="shared" si="1"/>
        <v>387</v>
      </c>
      <c r="F156" s="63">
        <v>186.0</v>
      </c>
      <c r="G156" s="63">
        <v>6.0</v>
      </c>
      <c r="H156" s="63">
        <f t="shared" si="2"/>
        <v>180</v>
      </c>
    </row>
    <row r="157" ht="15.75" customHeight="1">
      <c r="A157" s="63" t="s">
        <v>811</v>
      </c>
      <c r="B157" s="63">
        <v>26.0</v>
      </c>
      <c r="C157" s="63">
        <v>0.0</v>
      </c>
      <c r="D157" s="63">
        <f t="shared" si="1"/>
        <v>26</v>
      </c>
      <c r="F157" s="63">
        <v>0.0</v>
      </c>
      <c r="G157" s="63">
        <v>0.0</v>
      </c>
      <c r="H157" s="63">
        <f t="shared" si="2"/>
        <v>0</v>
      </c>
    </row>
    <row r="158" ht="15.75" customHeight="1">
      <c r="A158" s="63" t="s">
        <v>331</v>
      </c>
      <c r="B158" s="63">
        <v>60.0</v>
      </c>
      <c r="C158" s="63">
        <v>0.0</v>
      </c>
      <c r="D158" s="63">
        <f t="shared" si="1"/>
        <v>60</v>
      </c>
      <c r="F158" s="63">
        <v>0.0</v>
      </c>
      <c r="G158" s="63">
        <v>0.0</v>
      </c>
      <c r="H158" s="63">
        <f t="shared" si="2"/>
        <v>0</v>
      </c>
    </row>
    <row r="159" ht="15.75" customHeight="1">
      <c r="A159" s="63" t="s">
        <v>321</v>
      </c>
      <c r="B159" s="63">
        <v>6.0</v>
      </c>
      <c r="C159" s="63">
        <v>6.0</v>
      </c>
      <c r="D159" s="63">
        <f t="shared" si="1"/>
        <v>0</v>
      </c>
      <c r="F159" s="63">
        <v>0.0</v>
      </c>
      <c r="G159" s="63">
        <v>0.0</v>
      </c>
      <c r="H159" s="63">
        <f t="shared" si="2"/>
        <v>0</v>
      </c>
    </row>
    <row r="160" ht="15.75" customHeight="1">
      <c r="A160" s="63" t="s">
        <v>1024</v>
      </c>
      <c r="B160" s="63">
        <v>0.0</v>
      </c>
      <c r="C160" s="63">
        <v>77.0</v>
      </c>
      <c r="D160" s="63">
        <f t="shared" si="1"/>
        <v>-77</v>
      </c>
      <c r="F160" s="63">
        <v>0.0</v>
      </c>
      <c r="G160" s="63">
        <v>0.0</v>
      </c>
      <c r="H160" s="63">
        <f t="shared" si="2"/>
        <v>0</v>
      </c>
    </row>
    <row r="161" ht="15.75" customHeight="1">
      <c r="A161" s="63" t="s">
        <v>1043</v>
      </c>
      <c r="B161" s="63">
        <v>0.0</v>
      </c>
      <c r="C161" s="63">
        <v>0.0</v>
      </c>
      <c r="D161" s="63">
        <f t="shared" si="1"/>
        <v>0</v>
      </c>
      <c r="F161" s="63">
        <v>43.0</v>
      </c>
      <c r="G161" s="63">
        <v>0.0</v>
      </c>
      <c r="H161" s="63">
        <f t="shared" si="2"/>
        <v>43</v>
      </c>
    </row>
    <row r="162" ht="15.75" customHeight="1">
      <c r="A162" s="63" t="s">
        <v>757</v>
      </c>
      <c r="B162" s="63">
        <v>84.0</v>
      </c>
      <c r="C162" s="63">
        <v>486.0</v>
      </c>
      <c r="D162" s="63">
        <f t="shared" si="1"/>
        <v>-402</v>
      </c>
      <c r="F162" s="63">
        <v>9.0</v>
      </c>
      <c r="G162" s="63">
        <v>106.0</v>
      </c>
      <c r="H162" s="63">
        <f t="shared" si="2"/>
        <v>-97</v>
      </c>
    </row>
    <row r="163" ht="15.75" customHeight="1">
      <c r="A163" s="63" t="s">
        <v>906</v>
      </c>
      <c r="B163" s="63">
        <v>1.0</v>
      </c>
      <c r="C163" s="63">
        <v>33.0</v>
      </c>
      <c r="D163" s="63">
        <f t="shared" si="1"/>
        <v>-32</v>
      </c>
      <c r="F163" s="63">
        <v>0.0</v>
      </c>
      <c r="G163" s="63">
        <v>0.0</v>
      </c>
      <c r="H163" s="63">
        <f t="shared" si="2"/>
        <v>0</v>
      </c>
    </row>
    <row r="164" ht="15.75" customHeight="1">
      <c r="A164" s="63" t="s">
        <v>890</v>
      </c>
      <c r="B164" s="63">
        <v>5.0</v>
      </c>
      <c r="C164" s="63">
        <v>0.0</v>
      </c>
      <c r="D164" s="63">
        <f t="shared" si="1"/>
        <v>5</v>
      </c>
      <c r="F164" s="63">
        <v>0.0</v>
      </c>
      <c r="G164" s="63">
        <v>0.0</v>
      </c>
      <c r="H164" s="63">
        <f t="shared" si="2"/>
        <v>0</v>
      </c>
    </row>
    <row r="165" ht="15.75" customHeight="1">
      <c r="A165" s="63" t="s">
        <v>884</v>
      </c>
      <c r="B165" s="63">
        <v>40.0</v>
      </c>
      <c r="C165" s="63">
        <v>0.0</v>
      </c>
      <c r="D165" s="63">
        <f t="shared" si="1"/>
        <v>40</v>
      </c>
      <c r="F165" s="63">
        <v>0.0</v>
      </c>
      <c r="G165" s="63">
        <v>0.0</v>
      </c>
      <c r="H165" s="63">
        <f t="shared" si="2"/>
        <v>0</v>
      </c>
    </row>
    <row r="166" ht="15.75" customHeight="1">
      <c r="A166" s="63" t="s">
        <v>751</v>
      </c>
      <c r="B166" s="63">
        <v>0.0</v>
      </c>
      <c r="C166" s="63">
        <v>0.0</v>
      </c>
      <c r="D166" s="63">
        <f t="shared" si="1"/>
        <v>0</v>
      </c>
      <c r="F166" s="63">
        <v>0.0</v>
      </c>
      <c r="G166" s="63">
        <v>0.0</v>
      </c>
      <c r="H166" s="63">
        <f t="shared" si="2"/>
        <v>0</v>
      </c>
    </row>
    <row r="167" ht="15.75" customHeight="1">
      <c r="A167" s="63" t="s">
        <v>565</v>
      </c>
      <c r="B167" s="63">
        <v>603.0</v>
      </c>
      <c r="C167" s="63">
        <v>127.0</v>
      </c>
      <c r="D167" s="63">
        <f t="shared" si="1"/>
        <v>476</v>
      </c>
      <c r="F167" s="63">
        <v>355.0</v>
      </c>
      <c r="G167" s="63">
        <v>23.0</v>
      </c>
      <c r="H167" s="63">
        <f t="shared" si="2"/>
        <v>332</v>
      </c>
    </row>
    <row r="168" ht="15.75" customHeight="1">
      <c r="A168" s="63" t="s">
        <v>769</v>
      </c>
      <c r="B168" s="63">
        <v>0.0</v>
      </c>
      <c r="C168" s="63">
        <v>0.0</v>
      </c>
      <c r="D168" s="63">
        <f t="shared" si="1"/>
        <v>0</v>
      </c>
      <c r="F168" s="63">
        <v>0.0</v>
      </c>
      <c r="G168" s="63">
        <v>0.0</v>
      </c>
      <c r="H168" s="63">
        <f t="shared" si="2"/>
        <v>0</v>
      </c>
    </row>
    <row r="169" ht="15.75" customHeight="1">
      <c r="A169" s="63" t="s">
        <v>742</v>
      </c>
      <c r="B169" s="63">
        <v>0.0</v>
      </c>
      <c r="C169" s="63">
        <v>0.0</v>
      </c>
      <c r="D169" s="63">
        <f t="shared" si="1"/>
        <v>0</v>
      </c>
      <c r="F169" s="63">
        <v>0.0</v>
      </c>
      <c r="G169" s="63">
        <v>0.0</v>
      </c>
      <c r="H169" s="63">
        <f t="shared" si="2"/>
        <v>0</v>
      </c>
    </row>
    <row r="170" ht="15.75" customHeight="1">
      <c r="A170" s="63" t="s">
        <v>836</v>
      </c>
      <c r="B170" s="63">
        <v>27.0</v>
      </c>
      <c r="C170" s="63">
        <v>0.0</v>
      </c>
      <c r="D170" s="63">
        <f t="shared" si="1"/>
        <v>27</v>
      </c>
      <c r="F170" s="63">
        <v>0.0</v>
      </c>
      <c r="G170" s="63">
        <v>0.0</v>
      </c>
      <c r="H170" s="63">
        <f t="shared" si="2"/>
        <v>0</v>
      </c>
    </row>
    <row r="171" ht="15.75" customHeight="1">
      <c r="A171" s="63" t="s">
        <v>748</v>
      </c>
      <c r="B171" s="63">
        <v>3.0</v>
      </c>
      <c r="C171" s="63">
        <v>0.0</v>
      </c>
      <c r="D171" s="63">
        <f t="shared" si="1"/>
        <v>3</v>
      </c>
      <c r="F171" s="63">
        <v>0.0</v>
      </c>
      <c r="G171" s="63">
        <v>0.0</v>
      </c>
      <c r="H171" s="63">
        <f t="shared" si="2"/>
        <v>0</v>
      </c>
    </row>
    <row r="172" ht="15.75" customHeight="1">
      <c r="A172" s="63" t="s">
        <v>715</v>
      </c>
      <c r="B172" s="63">
        <v>58.0</v>
      </c>
      <c r="C172" s="63">
        <v>3.0</v>
      </c>
      <c r="D172" s="63">
        <f t="shared" si="1"/>
        <v>55</v>
      </c>
      <c r="F172" s="63">
        <v>512.0</v>
      </c>
      <c r="G172" s="63">
        <v>11.0</v>
      </c>
      <c r="H172" s="63">
        <f t="shared" si="2"/>
        <v>501</v>
      </c>
    </row>
    <row r="173" ht="15.75" customHeight="1">
      <c r="A173" s="63" t="s">
        <v>953</v>
      </c>
      <c r="B173" s="63">
        <v>9.0</v>
      </c>
      <c r="C173" s="63">
        <v>3.0</v>
      </c>
      <c r="D173" s="63">
        <f t="shared" si="1"/>
        <v>6</v>
      </c>
      <c r="F173" s="63">
        <v>4.0</v>
      </c>
      <c r="G173" s="63">
        <v>0.0</v>
      </c>
      <c r="H173" s="63">
        <f t="shared" si="2"/>
        <v>4</v>
      </c>
    </row>
    <row r="174" ht="15.75" customHeight="1">
      <c r="A174" s="63" t="s">
        <v>289</v>
      </c>
      <c r="B174" s="63">
        <v>0.0</v>
      </c>
      <c r="C174" s="63">
        <v>2.0</v>
      </c>
      <c r="D174" s="63">
        <f t="shared" si="1"/>
        <v>-2</v>
      </c>
      <c r="F174" s="63">
        <v>0.0</v>
      </c>
      <c r="G174" s="63">
        <v>3.0</v>
      </c>
      <c r="H174" s="63">
        <f t="shared" si="2"/>
        <v>-3</v>
      </c>
    </row>
    <row r="175" ht="15.75" customHeight="1">
      <c r="A175" s="63" t="s">
        <v>586</v>
      </c>
      <c r="B175" s="63">
        <v>29.0</v>
      </c>
      <c r="C175" s="63">
        <v>3.0</v>
      </c>
      <c r="D175" s="63">
        <f t="shared" si="1"/>
        <v>26</v>
      </c>
      <c r="F175" s="63">
        <v>0.0</v>
      </c>
      <c r="G175" s="63">
        <v>0.0</v>
      </c>
      <c r="H175" s="63">
        <f t="shared" si="2"/>
        <v>0</v>
      </c>
    </row>
    <row r="176" ht="15.75" customHeight="1">
      <c r="A176" s="63" t="s">
        <v>595</v>
      </c>
      <c r="B176" s="63">
        <v>6.0</v>
      </c>
      <c r="C176" s="63">
        <v>1.0</v>
      </c>
      <c r="D176" s="63">
        <f t="shared" si="1"/>
        <v>5</v>
      </c>
      <c r="F176" s="63">
        <v>0.0</v>
      </c>
      <c r="G176" s="63">
        <v>0.0</v>
      </c>
      <c r="H176" s="63">
        <f t="shared" si="2"/>
        <v>0</v>
      </c>
    </row>
    <row r="177" ht="15.75" customHeight="1">
      <c r="A177" s="63" t="s">
        <v>335</v>
      </c>
      <c r="B177" s="63">
        <v>4.0</v>
      </c>
      <c r="C177" s="63">
        <v>0.0</v>
      </c>
      <c r="D177" s="63">
        <f t="shared" si="1"/>
        <v>4</v>
      </c>
      <c r="F177" s="63">
        <v>0.0</v>
      </c>
      <c r="G177" s="63">
        <v>0.0</v>
      </c>
      <c r="H177" s="63">
        <f t="shared" si="2"/>
        <v>0</v>
      </c>
    </row>
    <row r="178" ht="15.75" customHeight="1">
      <c r="A178" s="63" t="s">
        <v>509</v>
      </c>
      <c r="B178" s="63">
        <v>65.0</v>
      </c>
      <c r="C178" s="63">
        <v>674.0</v>
      </c>
      <c r="D178" s="63">
        <f t="shared" si="1"/>
        <v>-609</v>
      </c>
      <c r="F178" s="63">
        <v>8.0</v>
      </c>
      <c r="G178" s="63">
        <v>491.0</v>
      </c>
      <c r="H178" s="63">
        <f t="shared" si="2"/>
        <v>-483</v>
      </c>
    </row>
    <row r="179" ht="15.75" customHeight="1">
      <c r="A179" s="63" t="s">
        <v>446</v>
      </c>
      <c r="B179" s="63">
        <v>4.0</v>
      </c>
      <c r="C179" s="63">
        <v>0.0</v>
      </c>
      <c r="D179" s="63">
        <f t="shared" si="1"/>
        <v>4</v>
      </c>
      <c r="F179" s="63">
        <v>0.0</v>
      </c>
      <c r="G179" s="63">
        <v>0.0</v>
      </c>
      <c r="H179" s="63">
        <f t="shared" si="2"/>
        <v>0</v>
      </c>
    </row>
    <row r="180" ht="15.75" customHeight="1">
      <c r="A180" s="63" t="s">
        <v>893</v>
      </c>
      <c r="B180" s="63">
        <v>90.0</v>
      </c>
      <c r="C180" s="63">
        <v>1.0</v>
      </c>
      <c r="D180" s="63">
        <f t="shared" si="1"/>
        <v>89</v>
      </c>
      <c r="F180" s="63">
        <v>5.0</v>
      </c>
      <c r="G180" s="63">
        <v>0.0</v>
      </c>
      <c r="H180" s="63">
        <f t="shared" si="2"/>
        <v>5</v>
      </c>
    </row>
    <row r="181" ht="15.75" customHeight="1">
      <c r="A181" s="63" t="s">
        <v>263</v>
      </c>
      <c r="B181" s="63">
        <v>0.0</v>
      </c>
      <c r="C181" s="63">
        <v>0.0</v>
      </c>
      <c r="D181" s="63">
        <f t="shared" si="1"/>
        <v>0</v>
      </c>
      <c r="F181" s="63">
        <v>0.0</v>
      </c>
      <c r="G181" s="63">
        <v>0.0</v>
      </c>
      <c r="H181" s="63">
        <f t="shared" si="2"/>
        <v>0</v>
      </c>
    </row>
    <row r="182" ht="15.75" customHeight="1">
      <c r="A182" s="63" t="s">
        <v>461</v>
      </c>
      <c r="B182" s="63">
        <v>13.0</v>
      </c>
      <c r="C182" s="63">
        <v>0.0</v>
      </c>
      <c r="D182" s="63">
        <f t="shared" si="1"/>
        <v>13</v>
      </c>
      <c r="F182" s="63">
        <v>0.0</v>
      </c>
      <c r="G182" s="63">
        <v>0.0</v>
      </c>
      <c r="H182" s="63">
        <f t="shared" si="2"/>
        <v>0</v>
      </c>
    </row>
    <row r="183" ht="15.75" customHeight="1">
      <c r="A183" s="63" t="s">
        <v>626</v>
      </c>
      <c r="B183" s="63">
        <v>0.0</v>
      </c>
      <c r="C183" s="63">
        <v>0.0</v>
      </c>
      <c r="D183" s="63">
        <f t="shared" si="1"/>
        <v>0</v>
      </c>
      <c r="F183" s="63">
        <v>5.0</v>
      </c>
      <c r="G183" s="63">
        <v>0.0</v>
      </c>
      <c r="H183" s="63">
        <f t="shared" si="2"/>
        <v>5</v>
      </c>
    </row>
    <row r="184" ht="15.75" customHeight="1">
      <c r="A184" s="63" t="s">
        <v>799</v>
      </c>
      <c r="B184" s="63">
        <v>6.0</v>
      </c>
      <c r="C184" s="63">
        <v>0.0</v>
      </c>
      <c r="D184" s="63">
        <f t="shared" si="1"/>
        <v>6</v>
      </c>
      <c r="F184" s="63">
        <v>0.0</v>
      </c>
      <c r="G184" s="63">
        <v>0.0</v>
      </c>
      <c r="H184" s="63">
        <f t="shared" si="2"/>
        <v>0</v>
      </c>
    </row>
    <row r="185" ht="15.75" customHeight="1">
      <c r="A185" s="63" t="s">
        <v>739</v>
      </c>
      <c r="B185" s="63">
        <v>13.0</v>
      </c>
      <c r="C185" s="63">
        <v>0.0</v>
      </c>
      <c r="D185" s="63">
        <f t="shared" si="1"/>
        <v>13</v>
      </c>
      <c r="F185" s="63">
        <v>0.0</v>
      </c>
      <c r="G185" s="63">
        <v>0.0</v>
      </c>
      <c r="H185" s="63">
        <f t="shared" si="2"/>
        <v>0</v>
      </c>
    </row>
    <row r="186" ht="15.75" customHeight="1">
      <c r="A186" s="63" t="s">
        <v>260</v>
      </c>
      <c r="B186" s="63">
        <v>0.0</v>
      </c>
      <c r="C186" s="63">
        <v>0.0</v>
      </c>
      <c r="D186" s="63">
        <f t="shared" si="1"/>
        <v>0</v>
      </c>
      <c r="F186" s="63">
        <v>0.0</v>
      </c>
      <c r="G186" s="63">
        <v>0.0</v>
      </c>
      <c r="H186" s="63">
        <f t="shared" si="2"/>
        <v>0</v>
      </c>
    </row>
    <row r="187" ht="15.75" customHeight="1">
      <c r="A187" s="63" t="s">
        <v>928</v>
      </c>
      <c r="B187" s="63">
        <v>83.0</v>
      </c>
      <c r="C187" s="63">
        <v>4.0</v>
      </c>
      <c r="D187" s="63">
        <f t="shared" si="1"/>
        <v>79</v>
      </c>
      <c r="F187" s="63">
        <v>15.0</v>
      </c>
      <c r="G187" s="63">
        <v>0.0</v>
      </c>
      <c r="H187" s="63">
        <f t="shared" si="2"/>
        <v>15</v>
      </c>
    </row>
    <row r="188" ht="15.75" customHeight="1">
      <c r="A188" s="63" t="s">
        <v>361</v>
      </c>
      <c r="B188" s="63">
        <v>17.0</v>
      </c>
      <c r="C188" s="63">
        <v>0.0</v>
      </c>
      <c r="D188" s="63">
        <f t="shared" si="1"/>
        <v>17</v>
      </c>
      <c r="F188" s="63">
        <v>0.0</v>
      </c>
      <c r="G188" s="63">
        <v>0.0</v>
      </c>
      <c r="H188" s="63">
        <f t="shared" si="2"/>
        <v>0</v>
      </c>
    </row>
    <row r="189" ht="15.75" customHeight="1">
      <c r="A189" s="63" t="s">
        <v>787</v>
      </c>
      <c r="B189" s="63">
        <v>5.0</v>
      </c>
      <c r="C189" s="63">
        <v>0.0</v>
      </c>
      <c r="D189" s="63">
        <f t="shared" si="1"/>
        <v>5</v>
      </c>
      <c r="F189" s="63">
        <v>0.0</v>
      </c>
      <c r="G189" s="63">
        <v>0.0</v>
      </c>
      <c r="H189" s="63">
        <f t="shared" si="2"/>
        <v>0</v>
      </c>
    </row>
    <row r="190" ht="15.75" customHeight="1">
      <c r="A190" s="63" t="s">
        <v>601</v>
      </c>
      <c r="B190" s="63">
        <v>33.0</v>
      </c>
      <c r="C190" s="63">
        <v>8.0</v>
      </c>
      <c r="D190" s="63">
        <f t="shared" si="1"/>
        <v>25</v>
      </c>
      <c r="F190" s="63">
        <v>0.0</v>
      </c>
      <c r="G190" s="63">
        <v>0.0</v>
      </c>
      <c r="H190" s="63">
        <f t="shared" si="2"/>
        <v>0</v>
      </c>
    </row>
    <row r="191" ht="15.75" customHeight="1">
      <c r="A191" s="63" t="s">
        <v>696</v>
      </c>
      <c r="B191" s="63">
        <v>11.0</v>
      </c>
      <c r="C191" s="63">
        <v>4.0</v>
      </c>
      <c r="D191" s="63">
        <f t="shared" si="1"/>
        <v>7</v>
      </c>
      <c r="F191" s="63">
        <v>16.0</v>
      </c>
      <c r="G191" s="63">
        <v>0.0</v>
      </c>
      <c r="H191" s="63">
        <f t="shared" si="2"/>
        <v>16</v>
      </c>
    </row>
    <row r="192" ht="15.75" customHeight="1">
      <c r="A192" s="63" t="s">
        <v>781</v>
      </c>
      <c r="B192" s="63">
        <v>14.0</v>
      </c>
      <c r="C192" s="63">
        <v>3.0</v>
      </c>
      <c r="D192" s="63">
        <f t="shared" si="1"/>
        <v>11</v>
      </c>
      <c r="F192" s="63">
        <v>0.0</v>
      </c>
      <c r="G192" s="63">
        <v>0.0</v>
      </c>
      <c r="H192" s="63">
        <f t="shared" si="2"/>
        <v>0</v>
      </c>
    </row>
    <row r="193" ht="15.75" customHeight="1">
      <c r="A193" s="63" t="s">
        <v>525</v>
      </c>
      <c r="B193" s="63">
        <v>0.0</v>
      </c>
      <c r="C193" s="63">
        <v>0.0</v>
      </c>
      <c r="D193" s="63">
        <f t="shared" si="1"/>
        <v>0</v>
      </c>
      <c r="F193" s="63">
        <v>0.0</v>
      </c>
      <c r="G193" s="63">
        <v>0.0</v>
      </c>
      <c r="H193" s="63">
        <f t="shared" si="2"/>
        <v>0</v>
      </c>
    </row>
    <row r="194" ht="15.75" customHeight="1">
      <c r="A194" s="63" t="s">
        <v>500</v>
      </c>
      <c r="B194" s="63">
        <v>0.0</v>
      </c>
      <c r="C194" s="63">
        <v>0.0</v>
      </c>
      <c r="D194" s="63">
        <f t="shared" si="1"/>
        <v>0</v>
      </c>
      <c r="F194" s="63">
        <v>1.0</v>
      </c>
      <c r="G194" s="63">
        <v>28.0</v>
      </c>
      <c r="H194" s="63">
        <f t="shared" si="2"/>
        <v>-27</v>
      </c>
    </row>
    <row r="195" ht="15.75" customHeight="1">
      <c r="A195" s="63" t="s">
        <v>919</v>
      </c>
      <c r="B195" s="63">
        <v>4.0</v>
      </c>
      <c r="C195" s="63">
        <v>3.0</v>
      </c>
      <c r="D195" s="63">
        <f t="shared" si="1"/>
        <v>1</v>
      </c>
      <c r="F195" s="63">
        <v>0.0</v>
      </c>
      <c r="G195" s="63">
        <v>0.0</v>
      </c>
      <c r="H195" s="63">
        <f t="shared" si="2"/>
        <v>0</v>
      </c>
    </row>
    <row r="196" ht="15.75" customHeight="1">
      <c r="A196" s="63" t="s">
        <v>981</v>
      </c>
      <c r="B196" s="63">
        <v>0.0</v>
      </c>
      <c r="C196" s="63">
        <v>0.0</v>
      </c>
      <c r="D196" s="63">
        <f t="shared" si="1"/>
        <v>0</v>
      </c>
      <c r="F196" s="63">
        <v>0.0</v>
      </c>
      <c r="G196" s="63">
        <v>0.0</v>
      </c>
      <c r="H196" s="63">
        <f t="shared" si="2"/>
        <v>0</v>
      </c>
    </row>
    <row r="197" ht="15.75" customHeight="1">
      <c r="A197" s="63" t="s">
        <v>248</v>
      </c>
      <c r="B197" s="63">
        <v>46.0</v>
      </c>
      <c r="C197" s="63">
        <v>457.0</v>
      </c>
      <c r="D197" s="63">
        <f t="shared" si="1"/>
        <v>-411</v>
      </c>
      <c r="F197" s="63">
        <v>38.0</v>
      </c>
      <c r="G197" s="63">
        <v>250.0</v>
      </c>
      <c r="H197" s="63">
        <f t="shared" si="2"/>
        <v>-212</v>
      </c>
    </row>
    <row r="198" ht="15.75" customHeight="1">
      <c r="A198" s="63" t="s">
        <v>988</v>
      </c>
      <c r="B198" s="63">
        <v>0.0</v>
      </c>
      <c r="C198" s="63">
        <v>2.0</v>
      </c>
      <c r="D198" s="63">
        <f t="shared" si="1"/>
        <v>-2</v>
      </c>
      <c r="F198" s="63">
        <v>0.0</v>
      </c>
      <c r="G198" s="63">
        <v>0.0</v>
      </c>
      <c r="H198" s="63">
        <f t="shared" si="2"/>
        <v>0</v>
      </c>
    </row>
    <row r="199" ht="15.75" customHeight="1">
      <c r="A199" s="63" t="s">
        <v>784</v>
      </c>
      <c r="B199" s="63">
        <v>2.0</v>
      </c>
      <c r="C199" s="63">
        <v>1.0</v>
      </c>
      <c r="D199" s="63">
        <f t="shared" si="1"/>
        <v>1</v>
      </c>
      <c r="F199" s="63">
        <v>0.0</v>
      </c>
      <c r="G199" s="63">
        <v>0.0</v>
      </c>
      <c r="H199" s="63">
        <f t="shared" si="2"/>
        <v>0</v>
      </c>
    </row>
    <row r="200" ht="15.75" customHeight="1">
      <c r="A200" s="63" t="s">
        <v>903</v>
      </c>
      <c r="B200" s="63">
        <v>0.0</v>
      </c>
      <c r="C200" s="63">
        <v>0.0</v>
      </c>
      <c r="D200" s="63">
        <f t="shared" si="1"/>
        <v>0</v>
      </c>
      <c r="F200" s="63">
        <v>83.0</v>
      </c>
      <c r="G200" s="63">
        <v>10.0</v>
      </c>
      <c r="H200" s="63">
        <f t="shared" si="2"/>
        <v>73</v>
      </c>
    </row>
    <row r="201" ht="15.75" customHeight="1">
      <c r="A201" s="63" t="s">
        <v>559</v>
      </c>
      <c r="B201" s="63">
        <v>1.0</v>
      </c>
      <c r="C201" s="63">
        <v>0.0</v>
      </c>
      <c r="D201" s="63">
        <f t="shared" si="1"/>
        <v>1</v>
      </c>
      <c r="F201" s="63">
        <v>0.0</v>
      </c>
      <c r="G201" s="63">
        <v>0.0</v>
      </c>
      <c r="H201" s="63">
        <f t="shared" si="2"/>
        <v>0</v>
      </c>
    </row>
    <row r="202" ht="15.75" customHeight="1">
      <c r="A202" s="63" t="s">
        <v>938</v>
      </c>
      <c r="B202" s="63">
        <v>8.0</v>
      </c>
      <c r="C202" s="63">
        <v>0.0</v>
      </c>
      <c r="D202" s="63">
        <f t="shared" si="1"/>
        <v>8</v>
      </c>
      <c r="F202" s="63">
        <v>0.0</v>
      </c>
      <c r="G202" s="63">
        <v>0.0</v>
      </c>
      <c r="H202" s="63">
        <f t="shared" si="2"/>
        <v>0</v>
      </c>
    </row>
    <row r="203" ht="15.75" customHeight="1">
      <c r="A203" s="63" t="s">
        <v>256</v>
      </c>
      <c r="B203" s="63">
        <v>15.0</v>
      </c>
      <c r="C203" s="63">
        <v>4.0</v>
      </c>
      <c r="D203" s="63">
        <f t="shared" si="1"/>
        <v>11</v>
      </c>
      <c r="F203" s="63">
        <v>0.0</v>
      </c>
      <c r="G203" s="63">
        <v>0.0</v>
      </c>
      <c r="H203" s="63">
        <f t="shared" si="2"/>
        <v>0</v>
      </c>
    </row>
    <row r="204" ht="15.75" customHeight="1">
      <c r="A204" s="63" t="s">
        <v>947</v>
      </c>
      <c r="B204" s="63">
        <v>0.0</v>
      </c>
      <c r="C204" s="63">
        <v>0.0</v>
      </c>
      <c r="D204" s="63">
        <f t="shared" si="1"/>
        <v>0</v>
      </c>
      <c r="F204" s="63">
        <v>0.0</v>
      </c>
      <c r="G204" s="63">
        <v>0.0</v>
      </c>
      <c r="H204" s="63">
        <f t="shared" si="2"/>
        <v>0</v>
      </c>
    </row>
    <row r="205" ht="15.75" customHeight="1">
      <c r="A205" s="63" t="s">
        <v>635</v>
      </c>
      <c r="B205" s="63">
        <v>0.0</v>
      </c>
      <c r="C205" s="63">
        <v>0.0</v>
      </c>
      <c r="D205" s="63">
        <f t="shared" si="1"/>
        <v>0</v>
      </c>
      <c r="F205" s="63">
        <v>0.0</v>
      </c>
      <c r="G205" s="63">
        <v>0.0</v>
      </c>
      <c r="H205" s="63">
        <f t="shared" si="2"/>
        <v>0</v>
      </c>
    </row>
    <row r="206" ht="15.75" customHeight="1">
      <c r="A206" s="63" t="s">
        <v>805</v>
      </c>
      <c r="B206" s="63">
        <v>7.0</v>
      </c>
      <c r="C206" s="63">
        <v>0.0</v>
      </c>
      <c r="D206" s="63">
        <f t="shared" si="1"/>
        <v>7</v>
      </c>
      <c r="F206" s="63">
        <v>31.0</v>
      </c>
      <c r="G206" s="63">
        <v>0.0</v>
      </c>
      <c r="H206" s="63">
        <f t="shared" si="2"/>
        <v>31</v>
      </c>
    </row>
    <row r="207" ht="15.75" customHeight="1">
      <c r="A207" s="63" t="s">
        <v>449</v>
      </c>
      <c r="B207" s="63">
        <v>29.0</v>
      </c>
      <c r="C207" s="63">
        <v>0.0</v>
      </c>
      <c r="D207" s="63">
        <f t="shared" si="1"/>
        <v>29</v>
      </c>
      <c r="F207" s="63">
        <v>0.0</v>
      </c>
      <c r="G207" s="63">
        <v>0.0</v>
      </c>
      <c r="H207" s="63">
        <f t="shared" si="2"/>
        <v>0</v>
      </c>
    </row>
    <row r="208" ht="15.75" customHeight="1">
      <c r="A208" s="63" t="s">
        <v>854</v>
      </c>
      <c r="B208" s="63">
        <v>0.0</v>
      </c>
      <c r="C208" s="63">
        <v>3.0</v>
      </c>
      <c r="D208" s="63">
        <f t="shared" si="1"/>
        <v>-3</v>
      </c>
      <c r="F208" s="63">
        <v>0.0</v>
      </c>
      <c r="G208" s="63">
        <v>0.0</v>
      </c>
      <c r="H208" s="63">
        <f t="shared" si="2"/>
        <v>0</v>
      </c>
    </row>
    <row r="209" ht="15.75" customHeight="1">
      <c r="A209" s="63" t="s">
        <v>675</v>
      </c>
      <c r="B209" s="63">
        <v>2.0</v>
      </c>
      <c r="C209" s="63">
        <v>132.0</v>
      </c>
      <c r="D209" s="63">
        <f t="shared" si="1"/>
        <v>-130</v>
      </c>
      <c r="F209" s="63">
        <v>4.0</v>
      </c>
      <c r="G209" s="63">
        <v>272.0</v>
      </c>
      <c r="H209" s="63">
        <f t="shared" si="2"/>
        <v>-268</v>
      </c>
    </row>
    <row r="210" ht="15.75" customHeight="1">
      <c r="A210" s="63" t="s">
        <v>824</v>
      </c>
      <c r="B210" s="63">
        <v>219.0</v>
      </c>
      <c r="C210" s="63">
        <v>3.0</v>
      </c>
      <c r="D210" s="63">
        <f t="shared" si="1"/>
        <v>216</v>
      </c>
      <c r="F210" s="63">
        <v>69.0</v>
      </c>
      <c r="G210" s="63">
        <v>0.0</v>
      </c>
      <c r="H210" s="63">
        <f t="shared" si="2"/>
        <v>69</v>
      </c>
    </row>
    <row r="211" ht="15.75" customHeight="1">
      <c r="A211" s="63" t="s">
        <v>778</v>
      </c>
      <c r="B211" s="63">
        <v>0.0</v>
      </c>
      <c r="C211" s="63">
        <v>0.0</v>
      </c>
      <c r="D211" s="63">
        <f t="shared" si="1"/>
        <v>0</v>
      </c>
      <c r="F211" s="63">
        <v>0.0</v>
      </c>
      <c r="G211" s="63">
        <v>0.0</v>
      </c>
      <c r="H211" s="63">
        <f t="shared" si="2"/>
        <v>0</v>
      </c>
    </row>
    <row r="212" ht="15.75" customHeight="1">
      <c r="A212" s="63" t="s">
        <v>912</v>
      </c>
      <c r="B212" s="63">
        <v>0.0</v>
      </c>
      <c r="C212" s="63">
        <v>0.0</v>
      </c>
      <c r="D212" s="63">
        <f t="shared" si="1"/>
        <v>0</v>
      </c>
      <c r="F212" s="63">
        <v>2.0</v>
      </c>
      <c r="G212" s="63">
        <v>0.0</v>
      </c>
      <c r="H212" s="63">
        <f t="shared" si="2"/>
        <v>2</v>
      </c>
    </row>
    <row r="213" ht="15.75" customHeight="1">
      <c r="A213" s="63" t="s">
        <v>629</v>
      </c>
      <c r="B213" s="63">
        <v>0.0</v>
      </c>
      <c r="C213" s="63">
        <v>0.0</v>
      </c>
      <c r="D213" s="63">
        <f t="shared" si="1"/>
        <v>0</v>
      </c>
      <c r="F213" s="63">
        <v>0.0</v>
      </c>
      <c r="G213" s="63">
        <v>0.0</v>
      </c>
      <c r="H213" s="63">
        <f t="shared" si="2"/>
        <v>0</v>
      </c>
    </row>
    <row r="214" ht="15.75" customHeight="1">
      <c r="A214" s="63" t="s">
        <v>760</v>
      </c>
      <c r="B214" s="63">
        <v>0.0</v>
      </c>
      <c r="C214" s="63">
        <v>0.0</v>
      </c>
      <c r="D214" s="63">
        <f t="shared" si="1"/>
        <v>0</v>
      </c>
      <c r="F214" s="63">
        <v>0.0</v>
      </c>
      <c r="G214" s="63">
        <v>0.0</v>
      </c>
      <c r="H214" s="63">
        <f t="shared" si="2"/>
        <v>0</v>
      </c>
    </row>
    <row r="215" ht="15.75" customHeight="1">
      <c r="A215" s="63" t="s">
        <v>512</v>
      </c>
      <c r="B215" s="63">
        <v>123.0</v>
      </c>
      <c r="C215" s="63">
        <v>0.0</v>
      </c>
      <c r="D215" s="63">
        <f t="shared" si="1"/>
        <v>123</v>
      </c>
      <c r="F215" s="63">
        <v>0.0</v>
      </c>
      <c r="G215" s="63">
        <v>0.0</v>
      </c>
      <c r="H215" s="63">
        <f t="shared" si="2"/>
        <v>0</v>
      </c>
    </row>
    <row r="216" ht="15.75" customHeight="1">
      <c r="A216" s="63" t="s">
        <v>571</v>
      </c>
      <c r="B216" s="63">
        <v>0.0</v>
      </c>
      <c r="C216" s="63">
        <v>0.0</v>
      </c>
      <c r="D216" s="63">
        <f t="shared" si="1"/>
        <v>0</v>
      </c>
      <c r="F216" s="63">
        <v>0.0</v>
      </c>
      <c r="G216" s="63">
        <v>75.0</v>
      </c>
      <c r="H216" s="63">
        <f t="shared" si="2"/>
        <v>-75</v>
      </c>
    </row>
    <row r="217" ht="15.75" customHeight="1">
      <c r="A217" s="63" t="s">
        <v>1028</v>
      </c>
      <c r="B217" s="63">
        <v>0.0</v>
      </c>
      <c r="C217" s="63">
        <v>323.0</v>
      </c>
      <c r="D217" s="63">
        <f t="shared" si="1"/>
        <v>-323</v>
      </c>
      <c r="F217" s="63">
        <v>0.0</v>
      </c>
      <c r="G217" s="63">
        <v>0.0</v>
      </c>
      <c r="H217" s="63">
        <f t="shared" si="2"/>
        <v>0</v>
      </c>
    </row>
    <row r="218" ht="15.75" customHeight="1">
      <c r="A218" s="63" t="s">
        <v>528</v>
      </c>
      <c r="B218" s="63">
        <v>23.0</v>
      </c>
      <c r="C218" s="63">
        <v>1.0</v>
      </c>
      <c r="D218" s="63">
        <f t="shared" si="1"/>
        <v>22</v>
      </c>
      <c r="F218" s="63">
        <v>22.0</v>
      </c>
      <c r="G218" s="63">
        <v>0.0</v>
      </c>
      <c r="H218" s="63">
        <f t="shared" si="2"/>
        <v>22</v>
      </c>
    </row>
    <row r="219" ht="15.75" customHeight="1">
      <c r="A219" s="63" t="s">
        <v>1037</v>
      </c>
      <c r="B219" s="63">
        <v>25.0</v>
      </c>
      <c r="C219" s="63">
        <v>0.0</v>
      </c>
      <c r="D219" s="63">
        <f t="shared" si="1"/>
        <v>25</v>
      </c>
      <c r="F219" s="63">
        <v>0.0</v>
      </c>
      <c r="G219" s="63">
        <v>0.0</v>
      </c>
      <c r="H219" s="63">
        <f t="shared" si="2"/>
        <v>0</v>
      </c>
    </row>
    <row r="220" ht="15.75" customHeight="1">
      <c r="A220" s="63" t="s">
        <v>252</v>
      </c>
      <c r="B220" s="63">
        <v>0.0</v>
      </c>
      <c r="C220" s="63">
        <v>0.0</v>
      </c>
      <c r="D220" s="63">
        <f t="shared" si="1"/>
        <v>0</v>
      </c>
      <c r="F220" s="63">
        <v>0.0</v>
      </c>
      <c r="G220" s="63">
        <v>0.0</v>
      </c>
      <c r="H220" s="63">
        <f t="shared" si="2"/>
        <v>0</v>
      </c>
    </row>
    <row r="221" ht="15.75" customHeight="1">
      <c r="A221" s="63" t="s">
        <v>863</v>
      </c>
      <c r="B221" s="63">
        <v>0.0</v>
      </c>
      <c r="C221" s="63">
        <v>76.0</v>
      </c>
      <c r="D221" s="63">
        <f t="shared" si="1"/>
        <v>-76</v>
      </c>
      <c r="F221" s="63">
        <v>0.0</v>
      </c>
      <c r="G221" s="63">
        <v>11.0</v>
      </c>
      <c r="H221" s="63">
        <f t="shared" si="2"/>
        <v>-11</v>
      </c>
    </row>
    <row r="222" ht="15.75" customHeight="1">
      <c r="A222" s="63" t="s">
        <v>715</v>
      </c>
      <c r="B222" s="63">
        <v>58.0</v>
      </c>
      <c r="C222" s="63">
        <v>3.0</v>
      </c>
      <c r="D222" s="63">
        <f t="shared" si="1"/>
        <v>55</v>
      </c>
      <c r="F222" s="63">
        <v>512.0</v>
      </c>
      <c r="G222" s="63">
        <v>11.0</v>
      </c>
      <c r="H222" s="63">
        <f t="shared" si="2"/>
        <v>501</v>
      </c>
    </row>
    <row r="223" ht="15.75" customHeight="1">
      <c r="A223" s="63" t="s">
        <v>620</v>
      </c>
      <c r="B223" s="63">
        <v>16.0</v>
      </c>
      <c r="C223" s="63">
        <v>1.0</v>
      </c>
      <c r="D223" s="63">
        <f t="shared" si="1"/>
        <v>15</v>
      </c>
      <c r="F223" s="63">
        <v>79.0</v>
      </c>
      <c r="G223" s="63">
        <v>0.0</v>
      </c>
      <c r="H223" s="63">
        <f t="shared" si="2"/>
        <v>79</v>
      </c>
    </row>
    <row r="224" ht="15.75" customHeight="1">
      <c r="A224" s="63" t="s">
        <v>638</v>
      </c>
      <c r="B224" s="63">
        <v>0.0</v>
      </c>
      <c r="C224" s="63">
        <v>0.0</v>
      </c>
      <c r="D224" s="63">
        <f t="shared" si="1"/>
        <v>0</v>
      </c>
      <c r="F224" s="63">
        <v>6.0</v>
      </c>
      <c r="G224" s="63">
        <v>0.0</v>
      </c>
      <c r="H224" s="63">
        <f t="shared" si="2"/>
        <v>6</v>
      </c>
    </row>
    <row r="225" ht="15.75" customHeight="1">
      <c r="A225" s="63" t="s">
        <v>344</v>
      </c>
      <c r="B225" s="63">
        <v>0.0</v>
      </c>
      <c r="C225" s="63">
        <v>0.0</v>
      </c>
      <c r="D225" s="63">
        <f t="shared" si="1"/>
        <v>0</v>
      </c>
      <c r="F225" s="63">
        <v>0.0</v>
      </c>
      <c r="G225" s="63">
        <v>20.0</v>
      </c>
      <c r="H225" s="63">
        <f t="shared" si="2"/>
        <v>-20</v>
      </c>
    </row>
    <row r="226" ht="15.75" customHeight="1">
      <c r="A226" s="63" t="s">
        <v>736</v>
      </c>
      <c r="B226" s="63">
        <v>0.0</v>
      </c>
      <c r="C226" s="63">
        <v>0.0</v>
      </c>
      <c r="D226" s="63">
        <f t="shared" si="1"/>
        <v>0</v>
      </c>
      <c r="F226" s="63">
        <v>118.0</v>
      </c>
      <c r="G226" s="63">
        <v>10.0</v>
      </c>
      <c r="H226" s="63">
        <f t="shared" si="2"/>
        <v>108</v>
      </c>
    </row>
    <row r="227" ht="15.75" customHeight="1">
      <c r="A227" s="63" t="s">
        <v>1034</v>
      </c>
      <c r="B227" s="63">
        <v>0.0</v>
      </c>
      <c r="C227" s="63">
        <v>0.0</v>
      </c>
      <c r="D227" s="63">
        <f t="shared" si="1"/>
        <v>0</v>
      </c>
      <c r="F227" s="63">
        <v>0.0</v>
      </c>
      <c r="G227" s="63">
        <v>0.0</v>
      </c>
      <c r="H227" s="63">
        <f t="shared" si="2"/>
        <v>0</v>
      </c>
    </row>
    <row r="228" ht="15.75" customHeight="1">
      <c r="A228" s="63" t="s">
        <v>650</v>
      </c>
      <c r="B228" s="63">
        <v>0.0</v>
      </c>
      <c r="C228" s="63">
        <v>0.0</v>
      </c>
      <c r="D228" s="63">
        <f t="shared" si="1"/>
        <v>0</v>
      </c>
      <c r="F228" s="63">
        <v>0.0</v>
      </c>
      <c r="G228" s="63">
        <v>0.0</v>
      </c>
      <c r="H228" s="63">
        <f t="shared" si="2"/>
        <v>0</v>
      </c>
    </row>
    <row r="229" ht="15.75" customHeight="1">
      <c r="A229" s="63" t="s">
        <v>687</v>
      </c>
      <c r="B229" s="63">
        <v>17.0</v>
      </c>
      <c r="C229" s="63">
        <v>34.0</v>
      </c>
      <c r="D229" s="63">
        <f t="shared" si="1"/>
        <v>-17</v>
      </c>
      <c r="F229" s="63">
        <v>5.0</v>
      </c>
      <c r="G229" s="63">
        <v>33.0</v>
      </c>
      <c r="H229" s="63">
        <f t="shared" si="2"/>
        <v>-28</v>
      </c>
    </row>
    <row r="230" ht="15.75" customHeight="1">
      <c r="A230" s="63" t="s">
        <v>607</v>
      </c>
      <c r="B230" s="63">
        <v>37.0</v>
      </c>
      <c r="C230" s="63">
        <v>0.0</v>
      </c>
      <c r="D230" s="63">
        <f t="shared" si="1"/>
        <v>37</v>
      </c>
      <c r="F230" s="63">
        <v>0.0</v>
      </c>
      <c r="G230" s="63">
        <v>0.0</v>
      </c>
      <c r="H230" s="63">
        <f t="shared" si="2"/>
        <v>0</v>
      </c>
    </row>
    <row r="231" ht="15.75" customHeight="1">
      <c r="A231" s="63" t="s">
        <v>967</v>
      </c>
      <c r="B231" s="63">
        <v>22.0</v>
      </c>
      <c r="C231" s="63">
        <v>0.0</v>
      </c>
      <c r="D231" s="63">
        <f t="shared" si="1"/>
        <v>22</v>
      </c>
      <c r="F231" s="63">
        <v>0.0</v>
      </c>
      <c r="G231" s="63">
        <v>0.0</v>
      </c>
      <c r="H231" s="63">
        <f t="shared" si="2"/>
        <v>0</v>
      </c>
    </row>
    <row r="232" ht="15.75" customHeight="1">
      <c r="A232" s="63" t="s">
        <v>518</v>
      </c>
      <c r="B232" s="63">
        <v>0.0</v>
      </c>
      <c r="C232" s="63">
        <v>0.0</v>
      </c>
      <c r="D232" s="63">
        <f t="shared" si="1"/>
        <v>0</v>
      </c>
      <c r="F232" s="63">
        <v>0.0</v>
      </c>
      <c r="G232" s="63">
        <v>0.0</v>
      </c>
      <c r="H232" s="63">
        <f t="shared" si="2"/>
        <v>0</v>
      </c>
    </row>
    <row r="233" ht="15.75" customHeight="1">
      <c r="A233" s="63" t="s">
        <v>494</v>
      </c>
      <c r="B233" s="63">
        <v>28.0</v>
      </c>
      <c r="C233" s="63">
        <v>0.0</v>
      </c>
      <c r="D233" s="63">
        <f t="shared" si="1"/>
        <v>28</v>
      </c>
      <c r="F233" s="63">
        <v>0.0</v>
      </c>
      <c r="G233" s="63">
        <v>0.0</v>
      </c>
      <c r="H233" s="63">
        <f t="shared" si="2"/>
        <v>0</v>
      </c>
    </row>
    <row r="234" ht="15.75" customHeight="1">
      <c r="A234" s="63" t="s">
        <v>970</v>
      </c>
      <c r="B234" s="63">
        <v>0.0</v>
      </c>
      <c r="C234" s="63">
        <v>5.0</v>
      </c>
      <c r="D234" s="63">
        <f t="shared" si="1"/>
        <v>-5</v>
      </c>
      <c r="F234" s="63">
        <v>0.0</v>
      </c>
      <c r="G234" s="63">
        <v>11.0</v>
      </c>
      <c r="H234" s="63">
        <f t="shared" si="2"/>
        <v>-11</v>
      </c>
    </row>
    <row r="235" ht="15.75" customHeight="1">
      <c r="A235" s="63" t="s">
        <v>845</v>
      </c>
      <c r="B235" s="63">
        <v>0.0</v>
      </c>
      <c r="C235" s="63">
        <v>0.0</v>
      </c>
      <c r="D235" s="63">
        <f t="shared" si="1"/>
        <v>0</v>
      </c>
      <c r="F235" s="63">
        <v>0.0</v>
      </c>
      <c r="G235" s="63">
        <v>0.0</v>
      </c>
      <c r="H235" s="63">
        <f t="shared" si="2"/>
        <v>0</v>
      </c>
    </row>
    <row r="236" ht="15.75" customHeight="1">
      <c r="A236" s="63" t="s">
        <v>690</v>
      </c>
      <c r="B236" s="63">
        <v>0.0</v>
      </c>
      <c r="C236" s="63">
        <v>0.0</v>
      </c>
      <c r="D236" s="63">
        <f t="shared" si="1"/>
        <v>0</v>
      </c>
      <c r="F236" s="63">
        <v>0.0</v>
      </c>
      <c r="G236" s="63">
        <v>0.0</v>
      </c>
      <c r="H236" s="63">
        <f t="shared" si="2"/>
        <v>0</v>
      </c>
    </row>
    <row r="237" ht="15.75" customHeight="1">
      <c r="A237" s="63" t="s">
        <v>808</v>
      </c>
      <c r="B237" s="63">
        <v>17.0</v>
      </c>
      <c r="C237" s="63">
        <v>48.0</v>
      </c>
      <c r="D237" s="63">
        <f t="shared" si="1"/>
        <v>-31</v>
      </c>
      <c r="F237" s="63">
        <v>0.0</v>
      </c>
      <c r="G237" s="63">
        <v>0.0</v>
      </c>
      <c r="H237" s="63">
        <f t="shared" si="2"/>
        <v>0</v>
      </c>
    </row>
    <row r="238" ht="15.75" customHeight="1">
      <c r="A238" s="63" t="s">
        <v>802</v>
      </c>
      <c r="B238" s="63">
        <v>1.0</v>
      </c>
      <c r="C238" s="63">
        <v>0.0</v>
      </c>
      <c r="D238" s="63">
        <f t="shared" si="1"/>
        <v>1</v>
      </c>
      <c r="F238" s="63">
        <v>1.0</v>
      </c>
      <c r="G238" s="63">
        <v>0.0</v>
      </c>
      <c r="H238" s="63">
        <f t="shared" si="2"/>
        <v>1</v>
      </c>
    </row>
    <row r="239" ht="15.75" customHeight="1">
      <c r="A239" s="63" t="s">
        <v>617</v>
      </c>
      <c r="B239" s="63">
        <v>3.0</v>
      </c>
      <c r="C239" s="63">
        <v>0.0</v>
      </c>
      <c r="D239" s="63">
        <f t="shared" si="1"/>
        <v>3</v>
      </c>
      <c r="F239" s="63">
        <v>0.0</v>
      </c>
      <c r="G239" s="63">
        <v>0.0</v>
      </c>
      <c r="H239" s="63">
        <f t="shared" si="2"/>
        <v>0</v>
      </c>
    </row>
    <row r="240" ht="15.75" customHeight="1">
      <c r="A240" s="63" t="s">
        <v>693</v>
      </c>
      <c r="B240" s="63">
        <v>0.0</v>
      </c>
      <c r="C240" s="63">
        <v>0.0</v>
      </c>
      <c r="D240" s="63">
        <f t="shared" si="1"/>
        <v>0</v>
      </c>
      <c r="F240" s="63">
        <v>0.0</v>
      </c>
      <c r="G240" s="63">
        <v>0.0</v>
      </c>
      <c r="H240" s="63">
        <f t="shared" si="2"/>
        <v>0</v>
      </c>
    </row>
    <row r="241" ht="15.75" customHeight="1">
      <c r="A241" s="63" t="s">
        <v>506</v>
      </c>
      <c r="B241" s="63">
        <v>0.0</v>
      </c>
      <c r="C241" s="63">
        <v>1.0</v>
      </c>
      <c r="D241" s="63">
        <f t="shared" si="1"/>
        <v>-1</v>
      </c>
      <c r="F241" s="63">
        <v>21.0</v>
      </c>
      <c r="G241" s="63">
        <v>0.0</v>
      </c>
      <c r="H241" s="63">
        <f t="shared" si="2"/>
        <v>21</v>
      </c>
    </row>
    <row r="242" ht="15.75" customHeight="1">
      <c r="A242" s="63" t="s">
        <v>233</v>
      </c>
      <c r="B242" s="63">
        <v>0.0</v>
      </c>
      <c r="C242" s="63">
        <v>0.0</v>
      </c>
      <c r="D242" s="63">
        <f t="shared" si="1"/>
        <v>0</v>
      </c>
      <c r="F242" s="63">
        <v>0.0</v>
      </c>
      <c r="G242" s="63">
        <v>0.0</v>
      </c>
      <c r="H242" s="63">
        <f t="shared" si="2"/>
        <v>0</v>
      </c>
    </row>
    <row r="243" ht="15.75" customHeight="1">
      <c r="A243" s="63" t="s">
        <v>723</v>
      </c>
      <c r="B243" s="63">
        <v>0.0</v>
      </c>
      <c r="C243" s="63">
        <v>0.0</v>
      </c>
      <c r="D243" s="63">
        <f t="shared" si="1"/>
        <v>0</v>
      </c>
      <c r="F243" s="63">
        <v>0.0</v>
      </c>
      <c r="G243" s="63">
        <v>0.0</v>
      </c>
      <c r="H243" s="63">
        <f t="shared" si="2"/>
        <v>0</v>
      </c>
    </row>
    <row r="244" ht="15.75" customHeight="1">
      <c r="A244" s="63" t="s">
        <v>922</v>
      </c>
      <c r="B244" s="63">
        <v>14.0</v>
      </c>
      <c r="C244" s="63">
        <v>1.0</v>
      </c>
      <c r="D244" s="63">
        <f t="shared" si="1"/>
        <v>13</v>
      </c>
      <c r="F244" s="63">
        <v>0.0</v>
      </c>
      <c r="G244" s="63">
        <v>0.0</v>
      </c>
      <c r="H244" s="63">
        <f t="shared" si="2"/>
        <v>0</v>
      </c>
    </row>
    <row r="245" ht="15.75" customHeight="1">
      <c r="A245" s="63" t="s">
        <v>899</v>
      </c>
      <c r="B245" s="63">
        <v>1.0</v>
      </c>
      <c r="C245" s="63">
        <v>2.0</v>
      </c>
      <c r="D245" s="63">
        <f t="shared" si="1"/>
        <v>-1</v>
      </c>
      <c r="F245" s="63">
        <v>0.0</v>
      </c>
      <c r="G245" s="63">
        <v>33.0</v>
      </c>
      <c r="H245" s="63">
        <f t="shared" si="2"/>
        <v>-33</v>
      </c>
    </row>
    <row r="246" ht="15.75" customHeight="1">
      <c r="A246" s="63" t="s">
        <v>531</v>
      </c>
      <c r="B246" s="63">
        <v>21.0</v>
      </c>
      <c r="C246" s="63">
        <v>2.0</v>
      </c>
      <c r="D246" s="63">
        <f t="shared" si="1"/>
        <v>19</v>
      </c>
      <c r="F246" s="63">
        <v>0.0</v>
      </c>
      <c r="G246" s="63">
        <v>0.0</v>
      </c>
      <c r="H246" s="63">
        <f t="shared" si="2"/>
        <v>0</v>
      </c>
    </row>
    <row r="247" ht="15.75" customHeight="1">
      <c r="A247" s="63" t="s">
        <v>857</v>
      </c>
      <c r="B247" s="63">
        <v>5.0</v>
      </c>
      <c r="C247" s="63">
        <v>5.0</v>
      </c>
      <c r="D247" s="63">
        <f t="shared" si="1"/>
        <v>0</v>
      </c>
      <c r="F247" s="63">
        <v>0.0</v>
      </c>
      <c r="G247" s="63">
        <v>0.0</v>
      </c>
      <c r="H247" s="63">
        <f t="shared" si="2"/>
        <v>0</v>
      </c>
    </row>
    <row r="248" ht="15.75" customHeight="1">
      <c r="A248" s="63" t="s">
        <v>763</v>
      </c>
      <c r="B248" s="63">
        <v>7.0</v>
      </c>
      <c r="C248" s="63">
        <v>0.0</v>
      </c>
      <c r="D248" s="63">
        <f t="shared" si="1"/>
        <v>7</v>
      </c>
      <c r="F248" s="63">
        <v>0.0</v>
      </c>
      <c r="G248" s="63">
        <v>0.0</v>
      </c>
      <c r="H248" s="63">
        <f t="shared" si="2"/>
        <v>0</v>
      </c>
    </row>
    <row r="249" ht="15.75" customHeight="1">
      <c r="A249" s="63" t="s">
        <v>328</v>
      </c>
      <c r="B249" s="63">
        <v>41.0</v>
      </c>
      <c r="C249" s="63">
        <v>2.0</v>
      </c>
      <c r="D249" s="63">
        <f t="shared" si="1"/>
        <v>39</v>
      </c>
      <c r="F249" s="63">
        <v>0.0</v>
      </c>
      <c r="G249" s="63">
        <v>0.0</v>
      </c>
      <c r="H249" s="63">
        <f t="shared" si="2"/>
        <v>0</v>
      </c>
    </row>
    <row r="250" ht="15.75" customHeight="1">
      <c r="A250" s="63" t="s">
        <v>352</v>
      </c>
      <c r="B250" s="63">
        <v>5.0</v>
      </c>
      <c r="C250" s="63">
        <v>0.0</v>
      </c>
      <c r="D250" s="63">
        <f t="shared" si="1"/>
        <v>5</v>
      </c>
      <c r="F250" s="63">
        <v>0.0</v>
      </c>
      <c r="G250" s="63">
        <v>0.0</v>
      </c>
      <c r="H250" s="63">
        <f t="shared" si="2"/>
        <v>0</v>
      </c>
    </row>
    <row r="251" ht="15.75" customHeight="1">
      <c r="A251" s="63" t="s">
        <v>935</v>
      </c>
      <c r="B251" s="63">
        <v>0.0</v>
      </c>
      <c r="C251" s="63">
        <v>129.0</v>
      </c>
      <c r="D251" s="63">
        <f t="shared" si="1"/>
        <v>-129</v>
      </c>
      <c r="F251" s="63">
        <v>0.0</v>
      </c>
      <c r="G251" s="63">
        <v>21.0</v>
      </c>
      <c r="H251" s="63">
        <f t="shared" si="2"/>
        <v>-21</v>
      </c>
    </row>
    <row r="252" ht="15.75" customHeight="1">
      <c r="A252" s="63" t="s">
        <v>237</v>
      </c>
      <c r="B252" s="63">
        <v>47.0</v>
      </c>
      <c r="C252" s="63">
        <v>0.0</v>
      </c>
      <c r="D252" s="63">
        <f t="shared" si="1"/>
        <v>47</v>
      </c>
      <c r="F252" s="63">
        <v>9.0</v>
      </c>
      <c r="G252" s="63">
        <v>0.0</v>
      </c>
      <c r="H252" s="63">
        <f t="shared" si="2"/>
        <v>9</v>
      </c>
    </row>
    <row r="253" ht="15.75" customHeight="1">
      <c r="A253" s="63" t="s">
        <v>950</v>
      </c>
      <c r="B253" s="63">
        <v>0.0</v>
      </c>
      <c r="C253" s="63">
        <v>0.0</v>
      </c>
      <c r="D253" s="63">
        <f t="shared" si="1"/>
        <v>0</v>
      </c>
      <c r="F253" s="63">
        <v>0.0</v>
      </c>
      <c r="G253" s="63">
        <v>0.0</v>
      </c>
      <c r="H253" s="63">
        <f t="shared" si="2"/>
        <v>0</v>
      </c>
    </row>
    <row r="254" ht="15.75" customHeight="1">
      <c r="A254" s="63" t="s">
        <v>766</v>
      </c>
      <c r="B254" s="63">
        <v>5.0</v>
      </c>
      <c r="C254" s="63">
        <v>0.0</v>
      </c>
      <c r="D254" s="63">
        <f t="shared" si="1"/>
        <v>5</v>
      </c>
      <c r="F254" s="63">
        <v>0.0</v>
      </c>
      <c r="G254" s="63">
        <v>0.0</v>
      </c>
      <c r="H254" s="63">
        <f t="shared" si="2"/>
        <v>0</v>
      </c>
    </row>
    <row r="255" ht="15.75" customHeight="1">
      <c r="A255" s="63" t="s">
        <v>473</v>
      </c>
      <c r="B255" s="63">
        <v>0.0</v>
      </c>
      <c r="C255" s="63">
        <v>0.0</v>
      </c>
      <c r="D255" s="63">
        <f t="shared" si="1"/>
        <v>0</v>
      </c>
      <c r="F255" s="63">
        <v>209.0</v>
      </c>
      <c r="G255" s="63">
        <v>15.0</v>
      </c>
      <c r="H255" s="63">
        <f t="shared" si="2"/>
        <v>194</v>
      </c>
    </row>
    <row r="256" ht="15.75" customHeight="1">
      <c r="A256" s="63" t="s">
        <v>604</v>
      </c>
      <c r="B256" s="63">
        <v>12.0</v>
      </c>
      <c r="C256" s="63">
        <v>0.0</v>
      </c>
      <c r="D256" s="63">
        <f t="shared" si="1"/>
        <v>12</v>
      </c>
      <c r="F256" s="63">
        <v>0.0</v>
      </c>
      <c r="G256" s="63">
        <v>0.0</v>
      </c>
      <c r="H256" s="63">
        <f t="shared" si="2"/>
        <v>0</v>
      </c>
    </row>
    <row r="257" ht="15.75" customHeight="1"/>
    <row r="258" ht="15.75" customHeight="1">
      <c r="A258" s="65" t="s">
        <v>1051</v>
      </c>
      <c r="B258" s="65">
        <f t="shared" ref="B258:D258" si="3">SUM(B2:B257)</f>
        <v>9089</v>
      </c>
      <c r="C258" s="65">
        <f t="shared" si="3"/>
        <v>7407</v>
      </c>
      <c r="D258" s="65">
        <f t="shared" si="3"/>
        <v>1682</v>
      </c>
      <c r="E258" s="65"/>
      <c r="F258" s="65">
        <f t="shared" ref="F258:H258" si="4">SUM(F2:F257)</f>
        <v>6226</v>
      </c>
      <c r="G258" s="65">
        <f t="shared" si="4"/>
        <v>4317</v>
      </c>
      <c r="H258" s="65">
        <f t="shared" si="4"/>
        <v>1909</v>
      </c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